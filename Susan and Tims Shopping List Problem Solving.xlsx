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129C3CD8-54C2-48DC-972E-9CB9A52F0295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usan" sheetId="1" r:id="rId1"/>
    <sheet name="Ti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D9" i="2"/>
  <c r="B9" i="2"/>
  <c r="C5" i="2"/>
  <c r="D5" i="2"/>
  <c r="B5" i="2"/>
  <c r="C4" i="2"/>
  <c r="D4" i="2"/>
  <c r="B4" i="2"/>
  <c r="C2" i="2"/>
  <c r="D2" i="2"/>
  <c r="B2" i="2"/>
  <c r="D7" i="2"/>
  <c r="C7" i="2"/>
  <c r="B7" i="2"/>
  <c r="B6" i="2"/>
  <c r="D3" i="2"/>
  <c r="C3" i="2"/>
  <c r="B3" i="2"/>
  <c r="D15" i="2"/>
  <c r="C15" i="2"/>
  <c r="B15" i="2"/>
  <c r="C18" i="1"/>
  <c r="D18" i="1"/>
  <c r="B18" i="1"/>
  <c r="C3" i="1"/>
  <c r="D3" i="1"/>
  <c r="B3" i="1"/>
  <c r="C9" i="1"/>
  <c r="D9" i="1"/>
  <c r="B9" i="1"/>
  <c r="C7" i="1"/>
  <c r="D7" i="1"/>
  <c r="B7" i="1"/>
  <c r="B6" i="1"/>
  <c r="C4" i="1"/>
  <c r="D4" i="1"/>
  <c r="B4" i="1"/>
  <c r="C2" i="1"/>
  <c r="D2" i="1"/>
  <c r="B2" i="1"/>
</calcChain>
</file>

<file path=xl/sharedStrings.xml><?xml version="1.0" encoding="utf-8"?>
<sst xmlns="http://schemas.openxmlformats.org/spreadsheetml/2006/main" count="37" uniqueCount="20">
  <si>
    <t>Shopping List</t>
  </si>
  <si>
    <t>WaltMart</t>
  </si>
  <si>
    <t>Dollar Trap</t>
  </si>
  <si>
    <t>Office Repo</t>
  </si>
  <si>
    <t>Ball Point Pen</t>
  </si>
  <si>
    <t>TI-35 Calculator</t>
  </si>
  <si>
    <t>100 page notebook</t>
  </si>
  <si>
    <t>8 oz Glue</t>
  </si>
  <si>
    <t>Clear tape</t>
  </si>
  <si>
    <t>Eraser</t>
  </si>
  <si>
    <t>10 No. 2 Pencils</t>
  </si>
  <si>
    <t>2 inch binder</t>
  </si>
  <si>
    <t>USB Stick 5gb</t>
  </si>
  <si>
    <t>8 Color Markers</t>
  </si>
  <si>
    <t>Stapler</t>
  </si>
  <si>
    <t>Planner Book</t>
  </si>
  <si>
    <t>Protractor</t>
  </si>
  <si>
    <t>Compass</t>
  </si>
  <si>
    <t>Liquid Paper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</si>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</sst>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Susan's Shopping List</a:t>
            </a:r>
          </a:p>
        </c:rich>
      </c:tx>
      <c:layout>
        <c:manualLayout>
          <c:xMode val="edge"/>
          <c:yMode val="edge"/>
          <c:x val="0.41075439410405729"/>
          <c:y val="3.1209309895833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Susan!$B$1</c:f>
              <c:strCache>
                <c:ptCount val="1"/>
                <c:pt idx="0">
                  <c:v>WaltMart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Susan!$A$2:$A$18</c:f>
              <c:strCache>
                <c:ptCount val="17"/>
                <c:pt idx="0">
                  <c:v>Ball Point Pen</c:v>
                </c:pt>
                <c:pt idx="1">
                  <c:v>TI-35 Calculator</c:v>
                </c:pt>
                <c:pt idx="2">
                  <c:v>100 page notebook</c:v>
                </c:pt>
                <c:pt idx="3">
                  <c:v>8 oz Glue</c:v>
                </c:pt>
                <c:pt idx="4">
                  <c:v>Clear tape</c:v>
                </c:pt>
                <c:pt idx="5">
                  <c:v>Eraser</c:v>
                </c:pt>
                <c:pt idx="6">
                  <c:v>10 No. 2 Pencils</c:v>
                </c:pt>
                <c:pt idx="7">
                  <c:v>2 inch binder</c:v>
                </c:pt>
                <c:pt idx="8">
                  <c:v>USB Stick 5gb</c:v>
                </c:pt>
                <c:pt idx="9">
                  <c:v>8 Color Markers</c:v>
                </c:pt>
                <c:pt idx="10">
                  <c:v>Stapler</c:v>
                </c:pt>
                <c:pt idx="11">
                  <c:v>Planner Book</c:v>
                </c:pt>
                <c:pt idx="12">
                  <c:v>Protractor</c:v>
                </c:pt>
                <c:pt idx="13">
                  <c:v>Compass</c:v>
                </c:pt>
                <c:pt idx="14">
                  <c:v>Liquid Paper</c:v>
                </c:pt>
                <c:pt idx="16">
                  <c:v>Total</c:v>
                </c:pt>
              </c:strCache>
            </c:strRef>
          </c:cat>
          <c:val>
            <c:numRef>
              <c:f>Susan!$B$2:$B$18</c:f>
              <c:numCache>
                <c:formatCode>"$"#,##0.00</c:formatCode>
                <c:ptCount val="17"/>
                <c:pt idx="0">
                  <c:v>1.5</c:v>
                </c:pt>
                <c:pt idx="1">
                  <c:v>28</c:v>
                </c:pt>
                <c:pt idx="2">
                  <c:v>12.6</c:v>
                </c:pt>
                <c:pt idx="3">
                  <c:v>1.2</c:v>
                </c:pt>
                <c:pt idx="4">
                  <c:v>4.8</c:v>
                </c:pt>
                <c:pt idx="5">
                  <c:v>1.8</c:v>
                </c:pt>
                <c:pt idx="6">
                  <c:v>0.99</c:v>
                </c:pt>
                <c:pt idx="7">
                  <c:v>5</c:v>
                </c:pt>
                <c:pt idx="8">
                  <c:v>9.5</c:v>
                </c:pt>
                <c:pt idx="9">
                  <c:v>4.55</c:v>
                </c:pt>
                <c:pt idx="10">
                  <c:v>4.2</c:v>
                </c:pt>
                <c:pt idx="11">
                  <c:v>3.9</c:v>
                </c:pt>
                <c:pt idx="12">
                  <c:v>1</c:v>
                </c:pt>
                <c:pt idx="13">
                  <c:v>1.75</c:v>
                </c:pt>
                <c:pt idx="14">
                  <c:v>2</c:v>
                </c:pt>
                <c:pt idx="16">
                  <c:v>82.79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0-4E4B-BE33-E7236BC1CBE6}"/>
            </c:ext>
          </c:extLst>
        </c:ser>
        <c:ser>
          <c:idx val="1"/>
          <c:order val="1"/>
          <c:tx>
            <c:strRef>
              <c:f>Susan!$C$1</c:f>
              <c:strCache>
                <c:ptCount val="1"/>
                <c:pt idx="0">
                  <c:v>Dollar Trap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Susan!$A$2:$A$18</c:f>
              <c:strCache>
                <c:ptCount val="17"/>
                <c:pt idx="0">
                  <c:v>Ball Point Pen</c:v>
                </c:pt>
                <c:pt idx="1">
                  <c:v>TI-35 Calculator</c:v>
                </c:pt>
                <c:pt idx="2">
                  <c:v>100 page notebook</c:v>
                </c:pt>
                <c:pt idx="3">
                  <c:v>8 oz Glue</c:v>
                </c:pt>
                <c:pt idx="4">
                  <c:v>Clear tape</c:v>
                </c:pt>
                <c:pt idx="5">
                  <c:v>Eraser</c:v>
                </c:pt>
                <c:pt idx="6">
                  <c:v>10 No. 2 Pencils</c:v>
                </c:pt>
                <c:pt idx="7">
                  <c:v>2 inch binder</c:v>
                </c:pt>
                <c:pt idx="8">
                  <c:v>USB Stick 5gb</c:v>
                </c:pt>
                <c:pt idx="9">
                  <c:v>8 Color Markers</c:v>
                </c:pt>
                <c:pt idx="10">
                  <c:v>Stapler</c:v>
                </c:pt>
                <c:pt idx="11">
                  <c:v>Planner Book</c:v>
                </c:pt>
                <c:pt idx="12">
                  <c:v>Protractor</c:v>
                </c:pt>
                <c:pt idx="13">
                  <c:v>Compass</c:v>
                </c:pt>
                <c:pt idx="14">
                  <c:v>Liquid Paper</c:v>
                </c:pt>
                <c:pt idx="16">
                  <c:v>Total</c:v>
                </c:pt>
              </c:strCache>
            </c:strRef>
          </c:cat>
          <c:val>
            <c:numRef>
              <c:f>Susan!$C$2:$C$18</c:f>
              <c:numCache>
                <c:formatCode>"$"#,##0.00</c:formatCode>
                <c:ptCount val="17"/>
                <c:pt idx="0">
                  <c:v>1.5</c:v>
                </c:pt>
                <c:pt idx="1">
                  <c:v>28</c:v>
                </c:pt>
                <c:pt idx="2">
                  <c:v>12.6</c:v>
                </c:pt>
                <c:pt idx="3">
                  <c:v>0.8</c:v>
                </c:pt>
                <c:pt idx="4">
                  <c:v>1.4</c:v>
                </c:pt>
                <c:pt idx="5">
                  <c:v>1.8</c:v>
                </c:pt>
                <c:pt idx="6">
                  <c:v>0.59</c:v>
                </c:pt>
                <c:pt idx="7">
                  <c:v>5</c:v>
                </c:pt>
                <c:pt idx="8">
                  <c:v>14</c:v>
                </c:pt>
                <c:pt idx="9">
                  <c:v>2.5499999999999998</c:v>
                </c:pt>
                <c:pt idx="10">
                  <c:v>2.2000000000000002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6">
                  <c:v>80.44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90-4E4B-BE33-E7236BC1CBE6}"/>
            </c:ext>
          </c:extLst>
        </c:ser>
        <c:ser>
          <c:idx val="2"/>
          <c:order val="2"/>
          <c:tx>
            <c:strRef>
              <c:f>Susan!$D$1</c:f>
              <c:strCache>
                <c:ptCount val="1"/>
                <c:pt idx="0">
                  <c:v>Office Repo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Susan!$A$2:$A$18</c:f>
              <c:strCache>
                <c:ptCount val="17"/>
                <c:pt idx="0">
                  <c:v>Ball Point Pen</c:v>
                </c:pt>
                <c:pt idx="1">
                  <c:v>TI-35 Calculator</c:v>
                </c:pt>
                <c:pt idx="2">
                  <c:v>100 page notebook</c:v>
                </c:pt>
                <c:pt idx="3">
                  <c:v>8 oz Glue</c:v>
                </c:pt>
                <c:pt idx="4">
                  <c:v>Clear tape</c:v>
                </c:pt>
                <c:pt idx="5">
                  <c:v>Eraser</c:v>
                </c:pt>
                <c:pt idx="6">
                  <c:v>10 No. 2 Pencils</c:v>
                </c:pt>
                <c:pt idx="7">
                  <c:v>2 inch binder</c:v>
                </c:pt>
                <c:pt idx="8">
                  <c:v>USB Stick 5gb</c:v>
                </c:pt>
                <c:pt idx="9">
                  <c:v>8 Color Markers</c:v>
                </c:pt>
                <c:pt idx="10">
                  <c:v>Stapler</c:v>
                </c:pt>
                <c:pt idx="11">
                  <c:v>Planner Book</c:v>
                </c:pt>
                <c:pt idx="12">
                  <c:v>Protractor</c:v>
                </c:pt>
                <c:pt idx="13">
                  <c:v>Compass</c:v>
                </c:pt>
                <c:pt idx="14">
                  <c:v>Liquid Paper</c:v>
                </c:pt>
                <c:pt idx="16">
                  <c:v>Total</c:v>
                </c:pt>
              </c:strCache>
            </c:strRef>
          </c:cat>
          <c:val>
            <c:numRef>
              <c:f>Susan!$D$2:$D$18</c:f>
              <c:numCache>
                <c:formatCode>"$"#,##0.00</c:formatCode>
                <c:ptCount val="17"/>
                <c:pt idx="0">
                  <c:v>1.5</c:v>
                </c:pt>
                <c:pt idx="1">
                  <c:v>28</c:v>
                </c:pt>
                <c:pt idx="2">
                  <c:v>12.6</c:v>
                </c:pt>
                <c:pt idx="3">
                  <c:v>1.5</c:v>
                </c:pt>
                <c:pt idx="4">
                  <c:v>2.4</c:v>
                </c:pt>
                <c:pt idx="5">
                  <c:v>1.8</c:v>
                </c:pt>
                <c:pt idx="6">
                  <c:v>2.59</c:v>
                </c:pt>
                <c:pt idx="7">
                  <c:v>5</c:v>
                </c:pt>
                <c:pt idx="8">
                  <c:v>13</c:v>
                </c:pt>
                <c:pt idx="9">
                  <c:v>6</c:v>
                </c:pt>
                <c:pt idx="10">
                  <c:v>3</c:v>
                </c:pt>
                <c:pt idx="11">
                  <c:v>8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6">
                  <c:v>90.39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90-4E4B-BE33-E7236BC1C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8041095"/>
        <c:axId val="1238043143"/>
      </c:barChart>
      <c:catAx>
        <c:axId val="1238041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043143"/>
        <c:crosses val="autoZero"/>
        <c:auto val="1"/>
        <c:lblAlgn val="ctr"/>
        <c:lblOffset val="100"/>
        <c:noMultiLvlLbl val="0"/>
      </c:catAx>
      <c:valAx>
        <c:axId val="1238043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041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Tim's Shopping List</a:t>
            </a:r>
          </a:p>
        </c:rich>
      </c:tx>
      <c:layout>
        <c:manualLayout>
          <c:xMode val="edge"/>
          <c:yMode val="edge"/>
          <c:x val="0.40850835588910756"/>
          <c:y val="3.0029318234634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Tim!$B$1</c:f>
              <c:strCache>
                <c:ptCount val="1"/>
                <c:pt idx="0">
                  <c:v>WaltMart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Tim!$A$2:$A$15</c:f>
              <c:strCache>
                <c:ptCount val="14"/>
                <c:pt idx="0">
                  <c:v>Ball Point Pen</c:v>
                </c:pt>
                <c:pt idx="1">
                  <c:v>TI-35 Calculator</c:v>
                </c:pt>
                <c:pt idx="2">
                  <c:v>100 page notebook</c:v>
                </c:pt>
                <c:pt idx="3">
                  <c:v>8 oz Glue</c:v>
                </c:pt>
                <c:pt idx="4">
                  <c:v>Clear tape</c:v>
                </c:pt>
                <c:pt idx="5">
                  <c:v>Eraser</c:v>
                </c:pt>
                <c:pt idx="6">
                  <c:v>10 No. 2 Pencils</c:v>
                </c:pt>
                <c:pt idx="7">
                  <c:v>2 inch binder</c:v>
                </c:pt>
                <c:pt idx="8">
                  <c:v>USB Stick 5gb</c:v>
                </c:pt>
                <c:pt idx="9">
                  <c:v>8 Color Markers</c:v>
                </c:pt>
                <c:pt idx="10">
                  <c:v>Stapler</c:v>
                </c:pt>
                <c:pt idx="11">
                  <c:v>Liquid Paper</c:v>
                </c:pt>
                <c:pt idx="13">
                  <c:v>Total</c:v>
                </c:pt>
              </c:strCache>
            </c:strRef>
          </c:cat>
          <c:val>
            <c:numRef>
              <c:f>Tim!$B$2:$B$15</c:f>
              <c:numCache>
                <c:formatCode>"$"#,##0.00</c:formatCode>
                <c:ptCount val="14"/>
                <c:pt idx="0">
                  <c:v>2.5</c:v>
                </c:pt>
                <c:pt idx="1">
                  <c:v>28</c:v>
                </c:pt>
                <c:pt idx="2">
                  <c:v>7.2</c:v>
                </c:pt>
                <c:pt idx="3">
                  <c:v>2.4</c:v>
                </c:pt>
                <c:pt idx="4">
                  <c:v>4.8</c:v>
                </c:pt>
                <c:pt idx="5">
                  <c:v>1.8</c:v>
                </c:pt>
                <c:pt idx="6">
                  <c:v>0.99</c:v>
                </c:pt>
                <c:pt idx="7">
                  <c:v>1.25</c:v>
                </c:pt>
                <c:pt idx="8">
                  <c:v>9.5</c:v>
                </c:pt>
                <c:pt idx="9">
                  <c:v>4.55</c:v>
                </c:pt>
                <c:pt idx="10">
                  <c:v>4.2</c:v>
                </c:pt>
                <c:pt idx="11">
                  <c:v>2</c:v>
                </c:pt>
                <c:pt idx="13">
                  <c:v>69.19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3-427F-8770-04CB931DDFE4}"/>
            </c:ext>
          </c:extLst>
        </c:ser>
        <c:ser>
          <c:idx val="1"/>
          <c:order val="1"/>
          <c:tx>
            <c:strRef>
              <c:f>Tim!$C$1</c:f>
              <c:strCache>
                <c:ptCount val="1"/>
                <c:pt idx="0">
                  <c:v>Dollar Trap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Tim!$A$2:$A$15</c:f>
              <c:strCache>
                <c:ptCount val="14"/>
                <c:pt idx="0">
                  <c:v>Ball Point Pen</c:v>
                </c:pt>
                <c:pt idx="1">
                  <c:v>TI-35 Calculator</c:v>
                </c:pt>
                <c:pt idx="2">
                  <c:v>100 page notebook</c:v>
                </c:pt>
                <c:pt idx="3">
                  <c:v>8 oz Glue</c:v>
                </c:pt>
                <c:pt idx="4">
                  <c:v>Clear tape</c:v>
                </c:pt>
                <c:pt idx="5">
                  <c:v>Eraser</c:v>
                </c:pt>
                <c:pt idx="6">
                  <c:v>10 No. 2 Pencils</c:v>
                </c:pt>
                <c:pt idx="7">
                  <c:v>2 inch binder</c:v>
                </c:pt>
                <c:pt idx="8">
                  <c:v>USB Stick 5gb</c:v>
                </c:pt>
                <c:pt idx="9">
                  <c:v>8 Color Markers</c:v>
                </c:pt>
                <c:pt idx="10">
                  <c:v>Stapler</c:v>
                </c:pt>
                <c:pt idx="11">
                  <c:v>Liquid Paper</c:v>
                </c:pt>
                <c:pt idx="13">
                  <c:v>Total</c:v>
                </c:pt>
              </c:strCache>
            </c:strRef>
          </c:cat>
          <c:val>
            <c:numRef>
              <c:f>Tim!$C$2:$C$15</c:f>
              <c:numCache>
                <c:formatCode>"$"#,##0.00</c:formatCode>
                <c:ptCount val="14"/>
                <c:pt idx="0">
                  <c:v>2.5</c:v>
                </c:pt>
                <c:pt idx="1">
                  <c:v>28</c:v>
                </c:pt>
                <c:pt idx="2">
                  <c:v>7.2</c:v>
                </c:pt>
                <c:pt idx="3">
                  <c:v>2.4</c:v>
                </c:pt>
                <c:pt idx="4">
                  <c:v>1.4</c:v>
                </c:pt>
                <c:pt idx="5">
                  <c:v>1.8</c:v>
                </c:pt>
                <c:pt idx="6">
                  <c:v>0.59</c:v>
                </c:pt>
                <c:pt idx="7">
                  <c:v>1.25</c:v>
                </c:pt>
                <c:pt idx="8">
                  <c:v>14</c:v>
                </c:pt>
                <c:pt idx="9">
                  <c:v>2.5499999999999998</c:v>
                </c:pt>
                <c:pt idx="10">
                  <c:v>2.2000000000000002</c:v>
                </c:pt>
                <c:pt idx="11">
                  <c:v>1</c:v>
                </c:pt>
                <c:pt idx="13">
                  <c:v>64.89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B3-427F-8770-04CB931DDFE4}"/>
            </c:ext>
          </c:extLst>
        </c:ser>
        <c:ser>
          <c:idx val="2"/>
          <c:order val="2"/>
          <c:tx>
            <c:strRef>
              <c:f>Tim!$D$1</c:f>
              <c:strCache>
                <c:ptCount val="1"/>
                <c:pt idx="0">
                  <c:v>Office Repo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Tim!$A$2:$A$15</c:f>
              <c:strCache>
                <c:ptCount val="14"/>
                <c:pt idx="0">
                  <c:v>Ball Point Pen</c:v>
                </c:pt>
                <c:pt idx="1">
                  <c:v>TI-35 Calculator</c:v>
                </c:pt>
                <c:pt idx="2">
                  <c:v>100 page notebook</c:v>
                </c:pt>
                <c:pt idx="3">
                  <c:v>8 oz Glue</c:v>
                </c:pt>
                <c:pt idx="4">
                  <c:v>Clear tape</c:v>
                </c:pt>
                <c:pt idx="5">
                  <c:v>Eraser</c:v>
                </c:pt>
                <c:pt idx="6">
                  <c:v>10 No. 2 Pencils</c:v>
                </c:pt>
                <c:pt idx="7">
                  <c:v>2 inch binder</c:v>
                </c:pt>
                <c:pt idx="8">
                  <c:v>USB Stick 5gb</c:v>
                </c:pt>
                <c:pt idx="9">
                  <c:v>8 Color Markers</c:v>
                </c:pt>
                <c:pt idx="10">
                  <c:v>Stapler</c:v>
                </c:pt>
                <c:pt idx="11">
                  <c:v>Liquid Paper</c:v>
                </c:pt>
                <c:pt idx="13">
                  <c:v>Total</c:v>
                </c:pt>
              </c:strCache>
            </c:strRef>
          </c:cat>
          <c:val>
            <c:numRef>
              <c:f>Tim!$D$2:$D$15</c:f>
              <c:numCache>
                <c:formatCode>"$"#,##0.00</c:formatCode>
                <c:ptCount val="14"/>
                <c:pt idx="0">
                  <c:v>2.5</c:v>
                </c:pt>
                <c:pt idx="1">
                  <c:v>28</c:v>
                </c:pt>
                <c:pt idx="2">
                  <c:v>7.2</c:v>
                </c:pt>
                <c:pt idx="3">
                  <c:v>2.4</c:v>
                </c:pt>
                <c:pt idx="4">
                  <c:v>2.4</c:v>
                </c:pt>
                <c:pt idx="5">
                  <c:v>1.8</c:v>
                </c:pt>
                <c:pt idx="6">
                  <c:v>2.59</c:v>
                </c:pt>
                <c:pt idx="7">
                  <c:v>1.25</c:v>
                </c:pt>
                <c:pt idx="8">
                  <c:v>13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  <c:pt idx="13">
                  <c:v>73.14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B3-427F-8770-04CB931DD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6535175"/>
        <c:axId val="1259364871"/>
      </c:barChart>
      <c:catAx>
        <c:axId val="1246535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64871"/>
        <c:crosses val="autoZero"/>
        <c:auto val="1"/>
        <c:lblAlgn val="ctr"/>
        <c:lblOffset val="100"/>
        <c:noMultiLvlLbl val="0"/>
      </c:catAx>
      <c:valAx>
        <c:axId val="1259364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535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2</xdr:row>
      <xdr:rowOff>28575</xdr:rowOff>
    </xdr:from>
    <xdr:to>
      <xdr:col>12</xdr:col>
      <xdr:colOff>9525</xdr:colOff>
      <xdr:row>16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79F69C-2D47-9861-8EA0-120017F41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0</xdr:row>
      <xdr:rowOff>28575</xdr:rowOff>
    </xdr:from>
    <xdr:to>
      <xdr:col>12</xdr:col>
      <xdr:colOff>209550</xdr:colOff>
      <xdr:row>14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228F72-E6C8-5BBC-691B-CFD75309F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sqref="A1:D18"/>
    </sheetView>
  </sheetViews>
  <sheetFormatPr defaultRowHeight="15"/>
  <cols>
    <col min="1" max="1" width="19.42578125" customWidth="1"/>
    <col min="2" max="2" width="17.7109375" bestFit="1" customWidth="1"/>
    <col min="3" max="3" width="15.28515625" customWidth="1"/>
    <col min="4" max="4" width="18.140625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 t="s">
        <v>4</v>
      </c>
      <c r="B2" s="5">
        <f>3*0.5</f>
        <v>1.5</v>
      </c>
      <c r="C2" s="5">
        <f t="shared" ref="C2:D2" si="0">3*0.5</f>
        <v>1.5</v>
      </c>
      <c r="D2" s="5">
        <f t="shared" si="0"/>
        <v>1.5</v>
      </c>
    </row>
    <row r="3" spans="1:4">
      <c r="A3" s="1" t="s">
        <v>5</v>
      </c>
      <c r="B3" s="5">
        <f>1*28</f>
        <v>28</v>
      </c>
      <c r="C3" s="5">
        <f t="shared" ref="C3:D3" si="1">1*28</f>
        <v>28</v>
      </c>
      <c r="D3" s="5">
        <f t="shared" si="1"/>
        <v>28</v>
      </c>
    </row>
    <row r="4" spans="1:4">
      <c r="A4" s="1" t="s">
        <v>6</v>
      </c>
      <c r="B4" s="5">
        <f>7*1.8</f>
        <v>12.6</v>
      </c>
      <c r="C4" s="5">
        <f t="shared" ref="C4:D4" si="2">7*1.8</f>
        <v>12.6</v>
      </c>
      <c r="D4" s="5">
        <f t="shared" si="2"/>
        <v>12.6</v>
      </c>
    </row>
    <row r="5" spans="1:4">
      <c r="A5" s="1" t="s">
        <v>7</v>
      </c>
      <c r="B5" s="5">
        <v>1.2</v>
      </c>
      <c r="C5" s="5">
        <v>0.8</v>
      </c>
      <c r="D5" s="5">
        <v>1.5</v>
      </c>
    </row>
    <row r="6" spans="1:4">
      <c r="A6" s="1" t="s">
        <v>8</v>
      </c>
      <c r="B6" s="5">
        <f>2*2.4</f>
        <v>4.8</v>
      </c>
      <c r="C6" s="5">
        <v>1.4</v>
      </c>
      <c r="D6" s="5">
        <v>2.4</v>
      </c>
    </row>
    <row r="7" spans="1:4">
      <c r="A7" s="1" t="s">
        <v>9</v>
      </c>
      <c r="B7" s="5">
        <f>2*0.9</f>
        <v>1.8</v>
      </c>
      <c r="C7" s="5">
        <f t="shared" ref="C7:D7" si="3">2*0.9</f>
        <v>1.8</v>
      </c>
      <c r="D7" s="5">
        <f t="shared" si="3"/>
        <v>1.8</v>
      </c>
    </row>
    <row r="8" spans="1:4">
      <c r="A8" s="1" t="s">
        <v>10</v>
      </c>
      <c r="B8" s="5">
        <v>0.99</v>
      </c>
      <c r="C8" s="5">
        <v>0.59</v>
      </c>
      <c r="D8" s="5">
        <v>2.59</v>
      </c>
    </row>
    <row r="9" spans="1:4">
      <c r="A9" s="1" t="s">
        <v>11</v>
      </c>
      <c r="B9" s="5">
        <f>4*1.25</f>
        <v>5</v>
      </c>
      <c r="C9" s="5">
        <f t="shared" ref="C9:D9" si="4">4*1.25</f>
        <v>5</v>
      </c>
      <c r="D9" s="5">
        <f t="shared" si="4"/>
        <v>5</v>
      </c>
    </row>
    <row r="10" spans="1:4">
      <c r="A10" s="1" t="s">
        <v>12</v>
      </c>
      <c r="B10" s="5">
        <v>9.5</v>
      </c>
      <c r="C10" s="5">
        <v>14</v>
      </c>
      <c r="D10" s="5">
        <v>13</v>
      </c>
    </row>
    <row r="11" spans="1:4">
      <c r="A11" s="1" t="s">
        <v>13</v>
      </c>
      <c r="B11" s="5">
        <v>4.55</v>
      </c>
      <c r="C11" s="5">
        <v>2.5499999999999998</v>
      </c>
      <c r="D11" s="5">
        <v>6</v>
      </c>
    </row>
    <row r="12" spans="1:4">
      <c r="A12" s="1" t="s">
        <v>14</v>
      </c>
      <c r="B12" s="5">
        <v>4.2</v>
      </c>
      <c r="C12" s="5">
        <v>2.2000000000000002</v>
      </c>
      <c r="D12" s="5">
        <v>3</v>
      </c>
    </row>
    <row r="13" spans="1:4">
      <c r="A13" s="1" t="s">
        <v>15</v>
      </c>
      <c r="B13" s="5">
        <v>3.9</v>
      </c>
      <c r="C13" s="5">
        <v>5</v>
      </c>
      <c r="D13" s="5">
        <v>8</v>
      </c>
    </row>
    <row r="14" spans="1:4">
      <c r="A14" s="1" t="s">
        <v>16</v>
      </c>
      <c r="B14" s="5">
        <v>1</v>
      </c>
      <c r="C14" s="5">
        <v>2</v>
      </c>
      <c r="D14" s="5">
        <v>1</v>
      </c>
    </row>
    <row r="15" spans="1:4">
      <c r="A15" s="1" t="s">
        <v>17</v>
      </c>
      <c r="B15" s="5">
        <v>1.75</v>
      </c>
      <c r="C15" s="5">
        <v>2</v>
      </c>
      <c r="D15" s="5">
        <v>1</v>
      </c>
    </row>
    <row r="16" spans="1:4">
      <c r="A16" s="1" t="s">
        <v>18</v>
      </c>
      <c r="B16" s="5">
        <v>2</v>
      </c>
      <c r="C16" s="5">
        <v>1</v>
      </c>
      <c r="D16" s="5">
        <v>3</v>
      </c>
    </row>
    <row r="17" spans="1:4">
      <c r="A17" s="1"/>
      <c r="B17" s="1"/>
      <c r="C17" s="1"/>
      <c r="D17" s="1"/>
    </row>
    <row r="18" spans="1:4">
      <c r="A18" s="2" t="s">
        <v>19</v>
      </c>
      <c r="B18" s="3">
        <f>SUM(B2:B16)</f>
        <v>82.79</v>
      </c>
      <c r="C18" s="3">
        <f t="shared" ref="C18:D18" si="5">SUM(C2:C16)</f>
        <v>80.44</v>
      </c>
      <c r="D18" s="3">
        <f t="shared" si="5"/>
        <v>90.39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5301-CFD9-4C9D-BC4A-8008B5E5C06A}">
  <dimension ref="A1:D15"/>
  <sheetViews>
    <sheetView tabSelected="1" topLeftCell="C1" workbookViewId="0">
      <selection activeCell="E24" sqref="E24"/>
    </sheetView>
  </sheetViews>
  <sheetFormatPr defaultRowHeight="15"/>
  <cols>
    <col min="1" max="1" width="17.7109375" bestFit="1" customWidth="1"/>
    <col min="2" max="2" width="9.5703125" bestFit="1" customWidth="1"/>
    <col min="3" max="3" width="10.7109375" bestFit="1" customWidth="1"/>
    <col min="4" max="4" width="11.2851562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 t="s">
        <v>4</v>
      </c>
      <c r="B2" s="5">
        <f>5*0.5</f>
        <v>2.5</v>
      </c>
      <c r="C2" s="5">
        <f t="shared" ref="C2:D2" si="0">5*0.5</f>
        <v>2.5</v>
      </c>
      <c r="D2" s="5">
        <f t="shared" si="0"/>
        <v>2.5</v>
      </c>
    </row>
    <row r="3" spans="1:4">
      <c r="A3" s="1" t="s">
        <v>5</v>
      </c>
      <c r="B3" s="5">
        <f>1*28</f>
        <v>28</v>
      </c>
      <c r="C3" s="5">
        <f t="shared" ref="C3:D3" si="1">1*28</f>
        <v>28</v>
      </c>
      <c r="D3" s="5">
        <f t="shared" si="1"/>
        <v>28</v>
      </c>
    </row>
    <row r="4" spans="1:4">
      <c r="A4" s="1" t="s">
        <v>6</v>
      </c>
      <c r="B4" s="5">
        <f>4*1.8</f>
        <v>7.2</v>
      </c>
      <c r="C4" s="5">
        <f t="shared" ref="C4:D4" si="2">4*1.8</f>
        <v>7.2</v>
      </c>
      <c r="D4" s="5">
        <f t="shared" si="2"/>
        <v>7.2</v>
      </c>
    </row>
    <row r="5" spans="1:4">
      <c r="A5" s="1" t="s">
        <v>7</v>
      </c>
      <c r="B5" s="5">
        <f>2*1.2</f>
        <v>2.4</v>
      </c>
      <c r="C5" s="5">
        <f t="shared" ref="C5:D5" si="3">2*1.2</f>
        <v>2.4</v>
      </c>
      <c r="D5" s="5">
        <f t="shared" si="3"/>
        <v>2.4</v>
      </c>
    </row>
    <row r="6" spans="1:4">
      <c r="A6" s="1" t="s">
        <v>8</v>
      </c>
      <c r="B6" s="5">
        <f>2*2.4</f>
        <v>4.8</v>
      </c>
      <c r="C6" s="5">
        <v>1.4</v>
      </c>
      <c r="D6" s="5">
        <v>2.4</v>
      </c>
    </row>
    <row r="7" spans="1:4">
      <c r="A7" s="1" t="s">
        <v>9</v>
      </c>
      <c r="B7" s="5">
        <f>2*0.9</f>
        <v>1.8</v>
      </c>
      <c r="C7" s="5">
        <f t="shared" ref="C7:D7" si="4">2*0.9</f>
        <v>1.8</v>
      </c>
      <c r="D7" s="5">
        <f t="shared" si="4"/>
        <v>1.8</v>
      </c>
    </row>
    <row r="8" spans="1:4">
      <c r="A8" s="1" t="s">
        <v>10</v>
      </c>
      <c r="B8" s="5">
        <v>0.99</v>
      </c>
      <c r="C8" s="5">
        <v>0.59</v>
      </c>
      <c r="D8" s="5">
        <v>2.59</v>
      </c>
    </row>
    <row r="9" spans="1:4">
      <c r="A9" s="1" t="s">
        <v>11</v>
      </c>
      <c r="B9" s="5">
        <f>1*1.25</f>
        <v>1.25</v>
      </c>
      <c r="C9" s="5">
        <f t="shared" ref="C9:D9" si="5">1*1.25</f>
        <v>1.25</v>
      </c>
      <c r="D9" s="5">
        <f t="shared" si="5"/>
        <v>1.25</v>
      </c>
    </row>
    <row r="10" spans="1:4">
      <c r="A10" s="1" t="s">
        <v>12</v>
      </c>
      <c r="B10" s="5">
        <v>9.5</v>
      </c>
      <c r="C10" s="5">
        <v>14</v>
      </c>
      <c r="D10" s="5">
        <v>13</v>
      </c>
    </row>
    <row r="11" spans="1:4">
      <c r="A11" s="1" t="s">
        <v>13</v>
      </c>
      <c r="B11" s="5">
        <v>4.55</v>
      </c>
      <c r="C11" s="5">
        <v>2.5499999999999998</v>
      </c>
      <c r="D11" s="5">
        <v>6</v>
      </c>
    </row>
    <row r="12" spans="1:4">
      <c r="A12" s="1" t="s">
        <v>14</v>
      </c>
      <c r="B12" s="5">
        <v>4.2</v>
      </c>
      <c r="C12" s="5">
        <v>2.2000000000000002</v>
      </c>
      <c r="D12" s="5">
        <v>3</v>
      </c>
    </row>
    <row r="13" spans="1:4">
      <c r="A13" s="1" t="s">
        <v>18</v>
      </c>
      <c r="B13" s="5">
        <v>2</v>
      </c>
      <c r="C13" s="5">
        <v>1</v>
      </c>
      <c r="D13" s="5">
        <v>3</v>
      </c>
    </row>
    <row r="14" spans="1:4">
      <c r="A14" s="1"/>
      <c r="B14" s="1"/>
      <c r="C14" s="1"/>
      <c r="D14" s="1"/>
    </row>
    <row r="15" spans="1:4">
      <c r="A15" s="2" t="s">
        <v>19</v>
      </c>
      <c r="B15" s="3">
        <f>SUM(B2:B13)</f>
        <v>69.19</v>
      </c>
      <c r="C15" s="3">
        <f>SUM(C2:C13)</f>
        <v>64.89</v>
      </c>
      <c r="D15" s="3">
        <f>SUM(D2:D13)</f>
        <v>73.14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2026-05-10T16:26:43Z</dcterms:created>
  <dcterms:modified xsi:type="dcterms:W3CDTF">2026-05-10T16:49:53Z</dcterms:modified>
  <cp:category/>
  <cp:contentStatus/>
</cp:coreProperties>
</file>