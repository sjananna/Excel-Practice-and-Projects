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hidePivotFieldList="1" defaultThemeVersion="166925"/>
  <xr:revisionPtr revIDLastSave="0" documentId="8_{0CB5C879-176A-41B3-A4BF-12EB069030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r Inventory" sheetId="1" r:id="rId1"/>
    <sheet name="Pivot Table and Chart" sheetId="2" r:id="rId2"/>
  </sheets>
  <calcPr calcId="191028"/>
  <pivotCaches>
    <pivotCache cacheId="8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M39" i="1"/>
  <c r="M21" i="1"/>
  <c r="M30" i="1"/>
  <c r="M32" i="1"/>
  <c r="M34" i="1"/>
  <c r="M28" i="1"/>
  <c r="M25" i="1"/>
  <c r="M2" i="1"/>
  <c r="M3" i="1"/>
  <c r="M16" i="1"/>
  <c r="M4" i="1"/>
  <c r="M9" i="1"/>
  <c r="M36" i="1"/>
  <c r="M14" i="1"/>
  <c r="M51" i="1"/>
  <c r="M20" i="1"/>
  <c r="M49" i="1"/>
  <c r="M35" i="1"/>
  <c r="M46" i="1"/>
  <c r="M47" i="1"/>
  <c r="M31" i="1"/>
  <c r="M37" i="1"/>
  <c r="M17" i="1"/>
  <c r="M42" i="1"/>
  <c r="M27" i="1"/>
  <c r="M7" i="1"/>
  <c r="M12" i="1"/>
  <c r="M48" i="1"/>
  <c r="M41" i="1"/>
  <c r="M38" i="1"/>
  <c r="M19" i="1"/>
  <c r="M13" i="1"/>
  <c r="M10" i="1"/>
  <c r="M8" i="1"/>
  <c r="M26" i="1"/>
  <c r="M22" i="1"/>
  <c r="M24" i="1"/>
  <c r="M43" i="1"/>
  <c r="M52" i="1"/>
  <c r="M29" i="1"/>
  <c r="M33" i="1"/>
  <c r="M18" i="1"/>
  <c r="M50" i="1"/>
  <c r="M40" i="1"/>
  <c r="M23" i="1"/>
  <c r="M44" i="1"/>
  <c r="M15" i="1"/>
  <c r="M11" i="1"/>
  <c r="M6" i="1"/>
  <c r="M5" i="1"/>
  <c r="M45" i="1"/>
  <c r="F39" i="1"/>
  <c r="I39" i="1" s="1"/>
  <c r="F21" i="1"/>
  <c r="I21" i="1" s="1"/>
  <c r="F30" i="1"/>
  <c r="I30" i="1" s="1"/>
  <c r="F32" i="1"/>
  <c r="I32" i="1" s="1"/>
  <c r="F34" i="1"/>
  <c r="I34" i="1" s="1"/>
  <c r="F28" i="1"/>
  <c r="I28" i="1" s="1"/>
  <c r="F25" i="1"/>
  <c r="I25" i="1" s="1"/>
  <c r="F2" i="1"/>
  <c r="I2" i="1" s="1"/>
  <c r="F3" i="1"/>
  <c r="I3" i="1" s="1"/>
  <c r="F16" i="1"/>
  <c r="I16" i="1" s="1"/>
  <c r="F4" i="1"/>
  <c r="I4" i="1" s="1"/>
  <c r="F9" i="1"/>
  <c r="I9" i="1" s="1"/>
  <c r="F36" i="1"/>
  <c r="I36" i="1" s="1"/>
  <c r="F14" i="1"/>
  <c r="I14" i="1" s="1"/>
  <c r="F51" i="1"/>
  <c r="I51" i="1" s="1"/>
  <c r="F20" i="1"/>
  <c r="I20" i="1" s="1"/>
  <c r="F49" i="1"/>
  <c r="I49" i="1" s="1"/>
  <c r="F35" i="1"/>
  <c r="I35" i="1" s="1"/>
  <c r="F46" i="1"/>
  <c r="I46" i="1" s="1"/>
  <c r="F47" i="1"/>
  <c r="I47" i="1" s="1"/>
  <c r="F31" i="1"/>
  <c r="I31" i="1" s="1"/>
  <c r="F37" i="1"/>
  <c r="I37" i="1" s="1"/>
  <c r="F17" i="1"/>
  <c r="I17" i="1" s="1"/>
  <c r="F42" i="1"/>
  <c r="I42" i="1" s="1"/>
  <c r="F27" i="1"/>
  <c r="I27" i="1" s="1"/>
  <c r="F7" i="1"/>
  <c r="I7" i="1" s="1"/>
  <c r="F12" i="1"/>
  <c r="I12" i="1" s="1"/>
  <c r="F48" i="1"/>
  <c r="I48" i="1" s="1"/>
  <c r="F41" i="1"/>
  <c r="I41" i="1" s="1"/>
  <c r="F38" i="1"/>
  <c r="I38" i="1" s="1"/>
  <c r="F19" i="1"/>
  <c r="I19" i="1" s="1"/>
  <c r="F13" i="1"/>
  <c r="I13" i="1" s="1"/>
  <c r="F10" i="1"/>
  <c r="I10" i="1" s="1"/>
  <c r="F8" i="1"/>
  <c r="I8" i="1" s="1"/>
  <c r="F26" i="1"/>
  <c r="I26" i="1" s="1"/>
  <c r="F22" i="1"/>
  <c r="I22" i="1" s="1"/>
  <c r="F24" i="1"/>
  <c r="I24" i="1" s="1"/>
  <c r="F43" i="1"/>
  <c r="I43" i="1" s="1"/>
  <c r="F52" i="1"/>
  <c r="I52" i="1" s="1"/>
  <c r="F29" i="1"/>
  <c r="I29" i="1" s="1"/>
  <c r="F33" i="1"/>
  <c r="I33" i="1" s="1"/>
  <c r="F18" i="1"/>
  <c r="I18" i="1" s="1"/>
  <c r="F50" i="1"/>
  <c r="I50" i="1" s="1"/>
  <c r="F40" i="1"/>
  <c r="I40" i="1" s="1"/>
  <c r="F23" i="1"/>
  <c r="I23" i="1" s="1"/>
  <c r="F44" i="1"/>
  <c r="I44" i="1" s="1"/>
  <c r="F15" i="1"/>
  <c r="I15" i="1" s="1"/>
  <c r="F11" i="1"/>
  <c r="I11" i="1" s="1"/>
  <c r="F6" i="1"/>
  <c r="I6" i="1" s="1"/>
  <c r="F5" i="1"/>
  <c r="I5" i="1" s="1"/>
  <c r="F45" i="1"/>
  <c r="I45" i="1" s="1"/>
  <c r="D39" i="1"/>
  <c r="E39" i="1" s="1"/>
  <c r="D21" i="1"/>
  <c r="E21" i="1" s="1"/>
  <c r="D30" i="1"/>
  <c r="E30" i="1" s="1"/>
  <c r="D32" i="1"/>
  <c r="E32" i="1" s="1"/>
  <c r="D34" i="1"/>
  <c r="E34" i="1" s="1"/>
  <c r="D28" i="1"/>
  <c r="E28" i="1" s="1"/>
  <c r="D25" i="1"/>
  <c r="E25" i="1" s="1"/>
  <c r="D2" i="1"/>
  <c r="E2" i="1" s="1"/>
  <c r="D3" i="1"/>
  <c r="E3" i="1" s="1"/>
  <c r="D16" i="1"/>
  <c r="E16" i="1" s="1"/>
  <c r="D4" i="1"/>
  <c r="E4" i="1" s="1"/>
  <c r="D9" i="1"/>
  <c r="E9" i="1" s="1"/>
  <c r="D36" i="1"/>
  <c r="E36" i="1" s="1"/>
  <c r="D14" i="1"/>
  <c r="E14" i="1" s="1"/>
  <c r="D51" i="1"/>
  <c r="E51" i="1" s="1"/>
  <c r="D20" i="1"/>
  <c r="E20" i="1" s="1"/>
  <c r="D49" i="1"/>
  <c r="E49" i="1" s="1"/>
  <c r="D35" i="1"/>
  <c r="E35" i="1" s="1"/>
  <c r="D46" i="1"/>
  <c r="E46" i="1" s="1"/>
  <c r="D47" i="1"/>
  <c r="E47" i="1" s="1"/>
  <c r="D31" i="1"/>
  <c r="E31" i="1" s="1"/>
  <c r="D37" i="1"/>
  <c r="E37" i="1" s="1"/>
  <c r="D17" i="1"/>
  <c r="E17" i="1" s="1"/>
  <c r="D42" i="1"/>
  <c r="E42" i="1" s="1"/>
  <c r="D27" i="1"/>
  <c r="E27" i="1" s="1"/>
  <c r="D7" i="1"/>
  <c r="E7" i="1" s="1"/>
  <c r="D12" i="1"/>
  <c r="E12" i="1" s="1"/>
  <c r="D48" i="1"/>
  <c r="E48" i="1" s="1"/>
  <c r="D41" i="1"/>
  <c r="E41" i="1" s="1"/>
  <c r="D38" i="1"/>
  <c r="E38" i="1" s="1"/>
  <c r="D19" i="1"/>
  <c r="E19" i="1" s="1"/>
  <c r="D13" i="1"/>
  <c r="E13" i="1" s="1"/>
  <c r="D10" i="1"/>
  <c r="E10" i="1" s="1"/>
  <c r="D8" i="1"/>
  <c r="E8" i="1" s="1"/>
  <c r="D26" i="1"/>
  <c r="E26" i="1" s="1"/>
  <c r="D22" i="1"/>
  <c r="E22" i="1" s="1"/>
  <c r="D24" i="1"/>
  <c r="E24" i="1" s="1"/>
  <c r="D43" i="1"/>
  <c r="E43" i="1" s="1"/>
  <c r="D52" i="1"/>
  <c r="E52" i="1" s="1"/>
  <c r="D29" i="1"/>
  <c r="E29" i="1" s="1"/>
  <c r="D33" i="1"/>
  <c r="E33" i="1" s="1"/>
  <c r="D18" i="1"/>
  <c r="E18" i="1" s="1"/>
  <c r="D50" i="1"/>
  <c r="E50" i="1" s="1"/>
  <c r="D40" i="1"/>
  <c r="E40" i="1" s="1"/>
  <c r="D23" i="1"/>
  <c r="E23" i="1" s="1"/>
  <c r="D44" i="1"/>
  <c r="E44" i="1" s="1"/>
  <c r="D15" i="1"/>
  <c r="E15" i="1" s="1"/>
  <c r="D11" i="1"/>
  <c r="E11" i="1" s="1"/>
  <c r="D6" i="1"/>
  <c r="E6" i="1" s="1"/>
  <c r="D5" i="1"/>
  <c r="E5" i="1" s="1"/>
  <c r="D45" i="1"/>
  <c r="E45" i="1" s="1"/>
  <c r="B39" i="1"/>
  <c r="B21" i="1"/>
  <c r="B30" i="1"/>
  <c r="B32" i="1"/>
  <c r="B34" i="1"/>
  <c r="B28" i="1"/>
  <c r="B25" i="1"/>
  <c r="B2" i="1"/>
  <c r="B3" i="1"/>
  <c r="B16" i="1"/>
  <c r="B4" i="1"/>
  <c r="B9" i="1"/>
  <c r="B36" i="1"/>
  <c r="B14" i="1"/>
  <c r="B51" i="1"/>
  <c r="B20" i="1"/>
  <c r="B49" i="1"/>
  <c r="B35" i="1"/>
  <c r="B46" i="1"/>
  <c r="B47" i="1"/>
  <c r="B31" i="1"/>
  <c r="B37" i="1"/>
  <c r="B17" i="1"/>
  <c r="B42" i="1"/>
  <c r="B27" i="1"/>
  <c r="B7" i="1"/>
  <c r="B12" i="1"/>
  <c r="B48" i="1"/>
  <c r="B41" i="1"/>
  <c r="B38" i="1"/>
  <c r="B19" i="1"/>
  <c r="B13" i="1"/>
  <c r="B10" i="1"/>
  <c r="B8" i="1"/>
  <c r="B26" i="1"/>
  <c r="B22" i="1"/>
  <c r="B24" i="1"/>
  <c r="B43" i="1"/>
  <c r="B52" i="1"/>
  <c r="B29" i="1"/>
  <c r="B33" i="1"/>
  <c r="B18" i="1"/>
  <c r="B50" i="1"/>
  <c r="B40" i="1"/>
  <c r="B23" i="1"/>
  <c r="B44" i="1"/>
  <c r="B15" i="1"/>
  <c r="B11" i="1"/>
  <c r="B6" i="1"/>
  <c r="B5" i="1"/>
  <c r="B45" i="1"/>
  <c r="C45" i="1" l="1"/>
  <c r="O45" i="1"/>
  <c r="C5" i="1"/>
  <c r="O5" i="1"/>
  <c r="C6" i="1"/>
  <c r="O6" i="1"/>
  <c r="C11" i="1"/>
  <c r="O11" i="1"/>
  <c r="C15" i="1"/>
  <c r="O15" i="1"/>
  <c r="C44" i="1"/>
  <c r="O44" i="1"/>
  <c r="C23" i="1"/>
  <c r="O23" i="1"/>
  <c r="C40" i="1"/>
  <c r="O40" i="1"/>
  <c r="C50" i="1"/>
  <c r="O50" i="1"/>
  <c r="C18" i="1"/>
  <c r="O18" i="1"/>
  <c r="C33" i="1"/>
  <c r="O33" i="1"/>
  <c r="C29" i="1"/>
  <c r="O29" i="1"/>
  <c r="C52" i="1"/>
  <c r="O52" i="1"/>
  <c r="C43" i="1"/>
  <c r="O43" i="1"/>
  <c r="C24" i="1"/>
  <c r="O24" i="1"/>
  <c r="C22" i="1"/>
  <c r="O22" i="1"/>
  <c r="C26" i="1"/>
  <c r="O26" i="1"/>
  <c r="C8" i="1"/>
  <c r="O8" i="1"/>
  <c r="C10" i="1"/>
  <c r="O10" i="1"/>
  <c r="C13" i="1"/>
  <c r="O13" i="1"/>
  <c r="C19" i="1"/>
  <c r="O19" i="1"/>
  <c r="C38" i="1"/>
  <c r="O38" i="1"/>
  <c r="C41" i="1"/>
  <c r="O41" i="1"/>
  <c r="C48" i="1"/>
  <c r="O48" i="1"/>
  <c r="C12" i="1"/>
  <c r="O12" i="1"/>
  <c r="C7" i="1"/>
  <c r="O7" i="1"/>
  <c r="C27" i="1"/>
  <c r="O27" i="1"/>
  <c r="C42" i="1"/>
  <c r="O42" i="1"/>
  <c r="C17" i="1"/>
  <c r="O17" i="1"/>
  <c r="C37" i="1"/>
  <c r="O37" i="1"/>
  <c r="C31" i="1"/>
  <c r="O31" i="1"/>
  <c r="C47" i="1"/>
  <c r="O47" i="1"/>
  <c r="C46" i="1"/>
  <c r="O46" i="1"/>
  <c r="C35" i="1"/>
  <c r="O35" i="1"/>
  <c r="C49" i="1"/>
  <c r="O49" i="1"/>
  <c r="C20" i="1"/>
  <c r="O20" i="1"/>
  <c r="C51" i="1"/>
  <c r="O51" i="1"/>
  <c r="C14" i="1"/>
  <c r="O14" i="1"/>
  <c r="C36" i="1"/>
  <c r="O36" i="1"/>
  <c r="C9" i="1"/>
  <c r="O9" i="1"/>
  <c r="C4" i="1"/>
  <c r="O4" i="1"/>
  <c r="C16" i="1"/>
  <c r="O16" i="1"/>
  <c r="C3" i="1"/>
  <c r="O3" i="1"/>
  <c r="C2" i="1"/>
  <c r="O2" i="1"/>
  <c r="C25" i="1"/>
  <c r="O25" i="1"/>
  <c r="C28" i="1"/>
  <c r="O28" i="1"/>
  <c r="C34" i="1"/>
  <c r="O34" i="1"/>
  <c r="C32" i="1"/>
  <c r="O32" i="1"/>
  <c r="C30" i="1"/>
  <c r="O30" i="1"/>
  <c r="C21" i="1"/>
  <c r="O21" i="1"/>
  <c r="C39" i="1"/>
  <c r="O39" i="1"/>
</calcChain>
</file>

<file path=xl/sharedStrings.xml><?xml version="1.0" encoding="utf-8"?>
<sst xmlns="http://schemas.openxmlformats.org/spreadsheetml/2006/main" count="273" uniqueCount="125">
  <si>
    <t>Car Model and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</si>
  <si>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</si>
  <si>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</si>
  <si>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</si>
  <si>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</si>
  <si>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</si>
  <si>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</si>
  <si>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</si>
  <si>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</si>
  <si>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</si>
  <si>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</si>
  <si>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</si>
  <si>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</si>
  <si>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</si>
  <si>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Car ID</t>
  </si>
  <si>
    <t>FD13FCS009</t>
  </si>
  <si>
    <t>Black</t>
  </si>
  <si>
    <t>Smith</t>
  </si>
  <si>
    <t xml:space="preserve">
</t>
  </si>
  <si>
    <t>FD13FCS010</t>
  </si>
  <si>
    <t>White</t>
  </si>
  <si>
    <t>Praulty</t>
  </si>
  <si>
    <t>FD13FCS012</t>
  </si>
  <si>
    <t>Vizzini</t>
  </si>
  <si>
    <t>HY13ELA052</t>
  </si>
  <si>
    <t>Blue</t>
  </si>
  <si>
    <t>Ewenty</t>
  </si>
  <si>
    <t>HY13ELA051</t>
  </si>
  <si>
    <t>TY12COR028</t>
  </si>
  <si>
    <t>Santos</t>
  </si>
  <si>
    <t>HO13CIV036</t>
  </si>
  <si>
    <t>Chan</t>
  </si>
  <si>
    <t>FD13FCS013</t>
  </si>
  <si>
    <t>Rodriguez</t>
  </si>
  <si>
    <t>HO12CIV035</t>
  </si>
  <si>
    <t>Hulinski</t>
  </si>
  <si>
    <t>HY12ELA050</t>
  </si>
  <si>
    <t>McCall</t>
  </si>
  <si>
    <t>TY12CAM029</t>
  </si>
  <si>
    <t>HO11CIV034</t>
  </si>
  <si>
    <t>Lyon</t>
  </si>
  <si>
    <t>GM12CMR015</t>
  </si>
  <si>
    <t>Bard</t>
  </si>
  <si>
    <t>HY11ELA049</t>
  </si>
  <si>
    <t>Torrens</t>
  </si>
  <si>
    <t>FD12FCS011</t>
  </si>
  <si>
    <t>Yousef</t>
  </si>
  <si>
    <t>TY09CAM024</t>
  </si>
  <si>
    <t>Howard</t>
  </si>
  <si>
    <t>CR11PTC044</t>
  </si>
  <si>
    <t>HO10CIV033</t>
  </si>
  <si>
    <t>Swartz</t>
  </si>
  <si>
    <t>GM10SLV017</t>
  </si>
  <si>
    <t>FD08MTG003</t>
  </si>
  <si>
    <t>Green</t>
  </si>
  <si>
    <t>HO07ODY038</t>
  </si>
  <si>
    <t>CR04CAR047</t>
  </si>
  <si>
    <t>HO08ODY039</t>
  </si>
  <si>
    <t>FD09FCS008</t>
  </si>
  <si>
    <t>HO05ODY037</t>
  </si>
  <si>
    <t>TY03COR026</t>
  </si>
  <si>
    <t>Gaul</t>
  </si>
  <si>
    <t>FD06FCS007</t>
  </si>
  <si>
    <t>CR04PTC042</t>
  </si>
  <si>
    <t>FD08MTG004</t>
  </si>
  <si>
    <t>Jones</t>
  </si>
  <si>
    <t>TY00CAM022</t>
  </si>
  <si>
    <t>FD08MTG005</t>
  </si>
  <si>
    <t>CR07PTC043</t>
  </si>
  <si>
    <t>FD06FCS006</t>
  </si>
  <si>
    <t>GM00SLV019</t>
  </si>
  <si>
    <t>GM09CMR014</t>
  </si>
  <si>
    <t>TY02CAM023</t>
  </si>
  <si>
    <t>HO10CIV032</t>
  </si>
  <si>
    <t>FD06MTG002</t>
  </si>
  <si>
    <t>CR00CAR046</t>
  </si>
  <si>
    <t>HO01CIV031</t>
  </si>
  <si>
    <t>TY02COR025</t>
  </si>
  <si>
    <t>Red</t>
  </si>
  <si>
    <t>HO010ODY040</t>
  </si>
  <si>
    <t>CR04CAR048</t>
  </si>
  <si>
    <t>FD06MTG001</t>
  </si>
  <si>
    <t>TY96CAM020</t>
  </si>
  <si>
    <t>TY98CAM021</t>
  </si>
  <si>
    <t>HO99CIV030</t>
  </si>
  <si>
    <t>GM98SLV018</t>
  </si>
  <si>
    <t>CR99CAR045</t>
  </si>
  <si>
    <t>GM14CMR016</t>
  </si>
  <si>
    <t>HO14ODY041</t>
  </si>
  <si>
    <t>CR</t>
  </si>
  <si>
    <t>Chrysler</t>
  </si>
  <si>
    <t>CAM</t>
  </si>
  <si>
    <t>Camry</t>
  </si>
  <si>
    <t>FD</t>
  </si>
  <si>
    <t>Ford</t>
  </si>
  <si>
    <t>CAR</t>
  </si>
  <si>
    <t>Caravan</t>
  </si>
  <si>
    <t>GM</t>
  </si>
  <si>
    <t>General Motors</t>
  </si>
  <si>
    <t>CIV</t>
  </si>
  <si>
    <t>Civic</t>
  </si>
  <si>
    <t>HO</t>
  </si>
  <si>
    <t>Honda</t>
  </si>
  <si>
    <t>CMR</t>
  </si>
  <si>
    <t>Camero</t>
  </si>
  <si>
    <t>HY</t>
  </si>
  <si>
    <t>Hundai</t>
  </si>
  <si>
    <t>COR</t>
  </si>
  <si>
    <t>Corola</t>
  </si>
  <si>
    <t>TY</t>
  </si>
  <si>
    <t>Toyota</t>
  </si>
  <si>
    <t>ELA</t>
  </si>
  <si>
    <t>Elantra</t>
  </si>
  <si>
    <t>FCS</t>
  </si>
  <si>
    <t>Focus</t>
  </si>
  <si>
    <t>MTG</t>
  </si>
  <si>
    <t>Mustang</t>
  </si>
  <si>
    <t>ODY</t>
  </si>
  <si>
    <t>Odyssey</t>
  </si>
  <si>
    <t>PTC</t>
  </si>
  <si>
    <t>PT Cruiser</t>
  </si>
  <si>
    <t>SLV</t>
  </si>
  <si>
    <t>Silverado</t>
  </si>
  <si>
    <t>Sum of Miles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</si>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</sst>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b/>
      <sz val="8"/>
      <color rgb="FFFFFFFF"/>
      <name val="Carlito"/>
      <charset val="1"/>
    </font>
    <font>
      <sz val="9"/>
      <color theme="1"/>
      <name val="Helvetica"/>
      <charset val="1"/>
    </font>
    <font>
      <sz val="8"/>
      <color rgb="FF000000"/>
      <name val="Carlito"/>
      <charset val="1"/>
    </font>
  </fonts>
  <fills count="6">
    <fill>
      <patternFill patternType="none"/>
    </fill>
    <fill>
      <patternFill patternType="gray125"/>
    </fill>
    <fill>
      <patternFill patternType="solid">
        <fgColor rgb="FF193C65"/>
        <bgColor indexed="64"/>
      </patternFill>
    </fill>
    <fill>
      <patternFill patternType="solid">
        <fgColor rgb="FFC6D8E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618EA5"/>
      </left>
      <right style="thin">
        <color rgb="FF000000"/>
      </right>
      <top style="thin">
        <color rgb="FF618EA5"/>
      </top>
      <bottom style="thin">
        <color rgb="FF618EA5"/>
      </bottom>
      <diagonal/>
    </border>
    <border>
      <left style="thin">
        <color rgb="FF000000"/>
      </left>
      <right style="thin">
        <color rgb="FF000000"/>
      </right>
      <top style="thin">
        <color rgb="FF618EA5"/>
      </top>
      <bottom style="thin">
        <color rgb="FF618EA5"/>
      </bottom>
      <diagonal/>
    </border>
    <border>
      <left style="thin">
        <color rgb="FF000000"/>
      </left>
      <right style="thin">
        <color rgb="FF618EA5"/>
      </right>
      <top style="thin">
        <color rgb="FF618EA5"/>
      </top>
      <bottom style="thin">
        <color rgb="FF618EA5"/>
      </bottom>
      <diagonal/>
    </border>
    <border>
      <left style="thin">
        <color rgb="FF618EA5"/>
      </left>
      <right style="thin">
        <color rgb="FF9A9A9A"/>
      </right>
      <top style="thin">
        <color rgb="FF618EA5"/>
      </top>
      <bottom style="thin">
        <color rgb="FF618EA5"/>
      </bottom>
      <diagonal/>
    </border>
    <border>
      <left style="thin">
        <color rgb="FF9A9A9A"/>
      </left>
      <right style="thin">
        <color rgb="FF9A9A9A"/>
      </right>
      <top style="thin">
        <color rgb="FF618EA5"/>
      </top>
      <bottom style="thin">
        <color rgb="FF618EA5"/>
      </bottom>
      <diagonal/>
    </border>
    <border>
      <left style="thin">
        <color rgb="FF9A9A9A"/>
      </left>
      <right style="thin">
        <color rgb="FF618EA5"/>
      </right>
      <top style="thin">
        <color rgb="FF618EA5"/>
      </top>
      <bottom style="thin">
        <color rgb="FF618EA5"/>
      </bottom>
      <diagonal/>
    </border>
    <border>
      <left style="thin">
        <color rgb="FF9A9A9A"/>
      </left>
      <right style="thin">
        <color rgb="FF9A9A9A"/>
      </right>
      <top style="thin">
        <color rgb="FF618EA5"/>
      </top>
      <bottom style="thin">
        <color rgb="FF9A9A9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pivotButton="1"/>
    <xf numFmtId="43" fontId="0" fillId="0" borderId="0" xfId="0" applyNumberFormat="1"/>
    <xf numFmtId="0" fontId="3" fillId="0" borderId="1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2"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'Car Inventory'!$G$2:$G$51</c:f>
              <c:numCache>
                <c:formatCode>General</c:formatCode>
                <c:ptCount val="5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13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14</c:v>
                </c:pt>
                <c:pt idx="13">
                  <c:v>15</c:v>
                </c:pt>
                <c:pt idx="14">
                  <c:v>14</c:v>
                </c:pt>
                <c:pt idx="15">
                  <c:v>17</c:v>
                </c:pt>
                <c:pt idx="16">
                  <c:v>15</c:v>
                </c:pt>
                <c:pt idx="17">
                  <c:v>16</c:v>
                </c:pt>
                <c:pt idx="18">
                  <c:v>16</c:v>
                </c:pt>
                <c:pt idx="19">
                  <c:v>18</c:v>
                </c:pt>
                <c:pt idx="20">
                  <c:v>19</c:v>
                </c:pt>
                <c:pt idx="21">
                  <c:v>22</c:v>
                </c:pt>
                <c:pt idx="22">
                  <c:v>18</c:v>
                </c:pt>
                <c:pt idx="23">
                  <c:v>17</c:v>
                </c:pt>
                <c:pt idx="24">
                  <c:v>21</c:v>
                </c:pt>
                <c:pt idx="25">
                  <c:v>23</c:v>
                </c:pt>
                <c:pt idx="26">
                  <c:v>20</c:v>
                </c:pt>
                <c:pt idx="27">
                  <c:v>22</c:v>
                </c:pt>
                <c:pt idx="28">
                  <c:v>18</c:v>
                </c:pt>
                <c:pt idx="29">
                  <c:v>26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26</c:v>
                </c:pt>
                <c:pt idx="34">
                  <c:v>17</c:v>
                </c:pt>
                <c:pt idx="35">
                  <c:v>24</c:v>
                </c:pt>
                <c:pt idx="36">
                  <c:v>16</c:v>
                </c:pt>
                <c:pt idx="37">
                  <c:v>20</c:v>
                </c:pt>
                <c:pt idx="38">
                  <c:v>26</c:v>
                </c:pt>
                <c:pt idx="39">
                  <c:v>25</c:v>
                </c:pt>
                <c:pt idx="40">
                  <c:v>24</c:v>
                </c:pt>
                <c:pt idx="41">
                  <c:v>25</c:v>
                </c:pt>
                <c:pt idx="42">
                  <c:v>22</c:v>
                </c:pt>
                <c:pt idx="43">
                  <c:v>20</c:v>
                </c:pt>
                <c:pt idx="44">
                  <c:v>30</c:v>
                </c:pt>
                <c:pt idx="45">
                  <c:v>28</c:v>
                </c:pt>
                <c:pt idx="46">
                  <c:v>27</c:v>
                </c:pt>
                <c:pt idx="47">
                  <c:v>28</c:v>
                </c:pt>
                <c:pt idx="48">
                  <c:v>27</c:v>
                </c:pt>
                <c:pt idx="49">
                  <c:v>12</c:v>
                </c:pt>
              </c:numCache>
            </c:numRef>
          </c:xVal>
          <c:yVal>
            <c:numRef>
              <c:f>'Car Inventory'!$H$2:$H$51</c:f>
              <c:numCache>
                <c:formatCode>General</c:formatCode>
                <c:ptCount val="50"/>
                <c:pt idx="0">
                  <c:v>27637.1</c:v>
                </c:pt>
                <c:pt idx="1">
                  <c:v>27534.799999999999</c:v>
                </c:pt>
                <c:pt idx="2">
                  <c:v>22521.599999999999</c:v>
                </c:pt>
                <c:pt idx="3">
                  <c:v>22188.5</c:v>
                </c:pt>
                <c:pt idx="4">
                  <c:v>20223.900000000001</c:v>
                </c:pt>
                <c:pt idx="5">
                  <c:v>29601.9</c:v>
                </c:pt>
                <c:pt idx="6">
                  <c:v>13867.6</c:v>
                </c:pt>
                <c:pt idx="7">
                  <c:v>13682.9</c:v>
                </c:pt>
                <c:pt idx="8">
                  <c:v>24513.200000000001</c:v>
                </c:pt>
                <c:pt idx="9">
                  <c:v>22282</c:v>
                </c:pt>
                <c:pt idx="10">
                  <c:v>22128.2</c:v>
                </c:pt>
                <c:pt idx="11">
                  <c:v>30555.3</c:v>
                </c:pt>
                <c:pt idx="12">
                  <c:v>19421.099999999999</c:v>
                </c:pt>
                <c:pt idx="13">
                  <c:v>29102.3</c:v>
                </c:pt>
                <c:pt idx="14">
                  <c:v>19341.7</c:v>
                </c:pt>
                <c:pt idx="15">
                  <c:v>48114.2</c:v>
                </c:pt>
                <c:pt idx="16">
                  <c:v>27394.2</c:v>
                </c:pt>
                <c:pt idx="17">
                  <c:v>33477.199999999997</c:v>
                </c:pt>
                <c:pt idx="18">
                  <c:v>31144.400000000001</c:v>
                </c:pt>
                <c:pt idx="19">
                  <c:v>44946.5</c:v>
                </c:pt>
                <c:pt idx="20">
                  <c:v>50854.1</c:v>
                </c:pt>
                <c:pt idx="21">
                  <c:v>72527.199999999997</c:v>
                </c:pt>
                <c:pt idx="22">
                  <c:v>42504.6</c:v>
                </c:pt>
                <c:pt idx="23">
                  <c:v>35137</c:v>
                </c:pt>
                <c:pt idx="24">
                  <c:v>60389.5</c:v>
                </c:pt>
                <c:pt idx="25">
                  <c:v>73444.399999999994</c:v>
                </c:pt>
                <c:pt idx="26">
                  <c:v>52229.5</c:v>
                </c:pt>
                <c:pt idx="27">
                  <c:v>64542</c:v>
                </c:pt>
                <c:pt idx="28">
                  <c:v>37558.800000000003</c:v>
                </c:pt>
                <c:pt idx="29">
                  <c:v>85928</c:v>
                </c:pt>
                <c:pt idx="30">
                  <c:v>36438.5</c:v>
                </c:pt>
                <c:pt idx="31">
                  <c:v>42074.2</c:v>
                </c:pt>
                <c:pt idx="32">
                  <c:v>46311.4</c:v>
                </c:pt>
                <c:pt idx="33">
                  <c:v>80685.8</c:v>
                </c:pt>
                <c:pt idx="34">
                  <c:v>28464.799999999999</c:v>
                </c:pt>
                <c:pt idx="35">
                  <c:v>67829.100000000006</c:v>
                </c:pt>
                <c:pt idx="36">
                  <c:v>22573</c:v>
                </c:pt>
                <c:pt idx="37">
                  <c:v>44974.8</c:v>
                </c:pt>
                <c:pt idx="38">
                  <c:v>77243.100000000006</c:v>
                </c:pt>
                <c:pt idx="39">
                  <c:v>69891.899999999994</c:v>
                </c:pt>
                <c:pt idx="40">
                  <c:v>64467.4</c:v>
                </c:pt>
                <c:pt idx="41">
                  <c:v>68658.899999999994</c:v>
                </c:pt>
                <c:pt idx="42">
                  <c:v>52699.4</c:v>
                </c:pt>
                <c:pt idx="43">
                  <c:v>40326.800000000003</c:v>
                </c:pt>
                <c:pt idx="44">
                  <c:v>114660.6</c:v>
                </c:pt>
                <c:pt idx="45">
                  <c:v>93382.6</c:v>
                </c:pt>
                <c:pt idx="46">
                  <c:v>82374</c:v>
                </c:pt>
                <c:pt idx="47">
                  <c:v>83162.7</c:v>
                </c:pt>
                <c:pt idx="48">
                  <c:v>79420.600000000006</c:v>
                </c:pt>
                <c:pt idx="49">
                  <c:v>14289.6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4-4BA0-A894-E633C5839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480583"/>
        <c:axId val="1171482631"/>
      </c:scatterChart>
      <c:valAx>
        <c:axId val="1171480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Ages of the Car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482631"/>
        <c:crosses val="autoZero"/>
        <c:crossBetween val="midCat"/>
      </c:valAx>
      <c:valAx>
        <c:axId val="1171482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480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21.xlsx]Pivot Table and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and Chart'!$A$4:$A$21</c:f>
              <c:strCache>
                <c:ptCount val="17"/>
                <c:pt idx="0">
                  <c:v>Smith</c:v>
                </c:pt>
                <c:pt idx="1">
                  <c:v>Jones</c:v>
                </c:pt>
                <c:pt idx="2">
                  <c:v>Gaul</c:v>
                </c:pt>
                <c:pt idx="3">
                  <c:v>Swartz</c:v>
                </c:pt>
                <c:pt idx="4">
                  <c:v>Ewenty</c:v>
                </c:pt>
                <c:pt idx="5">
                  <c:v>Chan</c:v>
                </c:pt>
                <c:pt idx="6">
                  <c:v>Bard</c:v>
                </c:pt>
                <c:pt idx="7">
                  <c:v>Howard</c:v>
                </c:pt>
                <c:pt idx="8">
                  <c:v>Santos</c:v>
                </c:pt>
                <c:pt idx="9">
                  <c:v>Rodriguez</c:v>
                </c:pt>
                <c:pt idx="10">
                  <c:v>Hulinski</c:v>
                </c:pt>
                <c:pt idx="11">
                  <c:v>Vizzini</c:v>
                </c:pt>
                <c:pt idx="12">
                  <c:v>Lyon</c:v>
                </c:pt>
                <c:pt idx="13">
                  <c:v>McCall</c:v>
                </c:pt>
                <c:pt idx="14">
                  <c:v>Torrens</c:v>
                </c:pt>
                <c:pt idx="15">
                  <c:v>Praulty</c:v>
                </c:pt>
                <c:pt idx="16">
                  <c:v>Yousef</c:v>
                </c:pt>
              </c:strCache>
            </c:strRef>
          </c:cat>
          <c:val>
            <c:numRef>
              <c:f>'Pivot Table and Chart'!$B$4:$B$21</c:f>
              <c:numCache>
                <c:formatCode>_(* #,##0.00_);_(* \(#,##0.00\);_(* "-"??_);_(@_)</c:formatCode>
                <c:ptCount val="17"/>
                <c:pt idx="0">
                  <c:v>305432.40000000002</c:v>
                </c:pt>
                <c:pt idx="1">
                  <c:v>184693.8</c:v>
                </c:pt>
                <c:pt idx="2">
                  <c:v>179986</c:v>
                </c:pt>
                <c:pt idx="3">
                  <c:v>177713.9</c:v>
                </c:pt>
                <c:pt idx="4">
                  <c:v>154427.9</c:v>
                </c:pt>
                <c:pt idx="5">
                  <c:v>150656.40000000002</c:v>
                </c:pt>
                <c:pt idx="6">
                  <c:v>144647.69999999998</c:v>
                </c:pt>
                <c:pt idx="7">
                  <c:v>143640.70000000001</c:v>
                </c:pt>
                <c:pt idx="8">
                  <c:v>141229.4</c:v>
                </c:pt>
                <c:pt idx="9">
                  <c:v>138561.5</c:v>
                </c:pt>
                <c:pt idx="10">
                  <c:v>135078.20000000001</c:v>
                </c:pt>
                <c:pt idx="11">
                  <c:v>130601.59999999999</c:v>
                </c:pt>
                <c:pt idx="12">
                  <c:v>127731.3</c:v>
                </c:pt>
                <c:pt idx="13">
                  <c:v>70964.899999999994</c:v>
                </c:pt>
                <c:pt idx="14">
                  <c:v>65964.899999999994</c:v>
                </c:pt>
                <c:pt idx="15">
                  <c:v>47758.7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3-477D-BEA4-78B3F2CD0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818503"/>
        <c:axId val="1188466183"/>
      </c:barChart>
      <c:catAx>
        <c:axId val="1163818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466183"/>
        <c:crosses val="autoZero"/>
        <c:auto val="1"/>
        <c:lblAlgn val="ctr"/>
        <c:lblOffset val="100"/>
        <c:noMultiLvlLbl val="0"/>
      </c:catAx>
      <c:valAx>
        <c:axId val="1188466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18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171450</xdr:colOff>
      <xdr:row>0</xdr:row>
      <xdr:rowOff>114300</xdr:rowOff>
    </xdr:from>
    <xdr:to>
      <xdr:col>22</xdr:col>
      <xdr:colOff>476250</xdr:colOff>
      <xdr:row>14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ABA213-C6AD-AA42-4AD2-86243AA10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9525</xdr:rowOff>
    </xdr:from>
    <xdr:to>
      <xdr:col>10</xdr:col>
      <xdr:colOff>323850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0D297-920F-F019-CC1E-F1E28123B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1.44054236111" createdVersion="8" refreshedVersion="8" minRefreshableVersion="3" recordCount="51" xr:uid="{01518128-570D-453A-A59A-7EC8E8F263C5}">
  <cacheSource type="worksheet">
    <worksheetSource ref="A1:O51" sheet="Car Inventory"/>
  </cacheSource>
  <cacheFields count="15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30"/>
    </cacheField>
    <cacheField name="Miles" numFmtId="0">
      <sharedItems containsSemiMixedTypes="0" containsString="0" containsNumber="1" minValue="3708.1" maxValue="114660.6"/>
    </cacheField>
    <cacheField name="Miles / Year" numFmtId="0">
      <sharedItems containsMixedTypes="1" containsNumber="1" minValue="2941.5037037037041" maxValue="27637.1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  <cacheField name="Car ID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FD06MTG001"/>
    <s v="FD"/>
    <s v="Ford"/>
    <s v="MTG"/>
    <s v="Mustang"/>
    <s v="06"/>
    <n v="8"/>
    <n v="40326.800000000003"/>
    <n v="5040.8500000000004"/>
    <s v="Black"/>
    <x v="0"/>
    <n v="50000"/>
    <s v="Yes"/>
    <s v="_x000a_"/>
    <s v="FD06MTGBLA001"/>
  </r>
  <r>
    <s v="FD06MTG002"/>
    <s v="FD"/>
    <s v="Ford"/>
    <s v="MTG"/>
    <s v="Mustang"/>
    <s v="06"/>
    <n v="8"/>
    <n v="44974.8"/>
    <n v="5621.85"/>
    <s v="White"/>
    <x v="1"/>
    <n v="50000"/>
    <s v="Yes"/>
    <s v="_x000a_"/>
    <s v="FD06MTGWHI002"/>
  </r>
  <r>
    <s v="FD08MTG003"/>
    <s v="FD"/>
    <s v="Ford"/>
    <s v="MTG"/>
    <s v="Mustang"/>
    <s v="08"/>
    <n v="6"/>
    <n v="44946.5"/>
    <n v="7491.083333333333"/>
    <s v="Green"/>
    <x v="2"/>
    <n v="50000"/>
    <s v="Yes"/>
    <s v="_x000a_"/>
    <s v="FD08MTGGRE003"/>
  </r>
  <r>
    <s v="FD08MTG004"/>
    <s v="FD"/>
    <s v="Ford"/>
    <s v="MTG"/>
    <s v="Mustang"/>
    <s v="08"/>
    <n v="6"/>
    <n v="37558.800000000003"/>
    <n v="6259.8"/>
    <s v="Black"/>
    <x v="3"/>
    <n v="50000"/>
    <s v="Yes"/>
    <s v="_x000a_"/>
    <s v="FD08MTGBLA004"/>
  </r>
  <r>
    <s v="FD08MTG005"/>
    <s v="FD"/>
    <s v="Ford"/>
    <s v="MTG"/>
    <s v="Mustang"/>
    <s v="08"/>
    <n v="6"/>
    <n v="36438.5"/>
    <n v="6073.083333333333"/>
    <s v="White"/>
    <x v="0"/>
    <n v="50000"/>
    <s v="Yes"/>
    <s v="_x000a_"/>
    <s v="FD08MTGWHI005"/>
  </r>
  <r>
    <s v="FD06FCS006"/>
    <s v="FD"/>
    <s v="Ford"/>
    <s v="FCS"/>
    <s v="Focus"/>
    <s v="06"/>
    <n v="8"/>
    <n v="46311.4"/>
    <n v="5788.9250000000002"/>
    <s v="Green"/>
    <x v="4"/>
    <n v="75000"/>
    <s v="Yes"/>
    <s v="_x000a_"/>
    <s v="FD06FCSGRE006"/>
  </r>
  <r>
    <s v="FD06FCS007"/>
    <s v="FD"/>
    <s v="Ford"/>
    <s v="FCS"/>
    <s v="Focus"/>
    <s v="06"/>
    <n v="8"/>
    <n v="52229.5"/>
    <n v="6528.6875"/>
    <s v="Green"/>
    <x v="2"/>
    <n v="75000"/>
    <s v="Yes"/>
    <s v="_x000a_"/>
    <s v="FD06FCSGRE007"/>
  </r>
  <r>
    <s v="FD09FCS008"/>
    <s v="FD"/>
    <s v="Ford"/>
    <s v="FCS"/>
    <s v="Focus"/>
    <s v="09"/>
    <n v="5"/>
    <n v="35137"/>
    <n v="7027.4"/>
    <s v="Black"/>
    <x v="5"/>
    <n v="75000"/>
    <s v="Yes"/>
    <s v="_x000a_"/>
    <s v="FD09FCSBLA008"/>
  </r>
  <r>
    <s v="FD13FCS009"/>
    <s v="FD"/>
    <s v="Ford"/>
    <s v="FCS"/>
    <s v="Focus"/>
    <s v="13"/>
    <n v="1"/>
    <n v="27637.1"/>
    <n v="27637.1"/>
    <s v="Black"/>
    <x v="0"/>
    <n v="75000"/>
    <s v="Yes"/>
    <s v="_x000a_"/>
    <s v="FD13FCSBLA009"/>
  </r>
  <r>
    <s v="FD13FCS010"/>
    <s v="FD"/>
    <s v="Ford"/>
    <s v="FCS"/>
    <s v="Focus"/>
    <s v="13"/>
    <n v="1"/>
    <n v="27534.799999999999"/>
    <n v="27534.799999999999"/>
    <s v="White"/>
    <x v="6"/>
    <n v="75000"/>
    <s v="Yes"/>
    <s v="_x000a_"/>
    <s v="FD13FCSWHI010"/>
  </r>
  <r>
    <s v="FD12FCS011"/>
    <s v="FD"/>
    <s v="Ford"/>
    <s v="FCS"/>
    <s v="Focus"/>
    <s v="12"/>
    <n v="2"/>
    <n v="19341.7"/>
    <n v="9670.85"/>
    <s v="White"/>
    <x v="7"/>
    <n v="75000"/>
    <s v="Yes"/>
    <s v="_x000a_"/>
    <s v="FD12FCSWHI011"/>
  </r>
  <r>
    <s v="FD13FCS012"/>
    <s v="FD"/>
    <s v="Ford"/>
    <s v="FCS"/>
    <s v="Focus"/>
    <s v="13"/>
    <n v="1"/>
    <n v="22521.599999999999"/>
    <n v="22521.599999999999"/>
    <s v="Black"/>
    <x v="8"/>
    <n v="75000"/>
    <s v="Yes"/>
    <s v="_x000a_"/>
    <s v="FD13FCSBLA012"/>
  </r>
  <r>
    <s v="FD13FCS013"/>
    <s v="FD"/>
    <s v="Ford"/>
    <s v="FCS"/>
    <s v="Focus"/>
    <s v="13"/>
    <n v="1"/>
    <n v="13682.9"/>
    <n v="13682.9"/>
    <s v="Black"/>
    <x v="9"/>
    <n v="75000"/>
    <s v="Yes"/>
    <s v="_x000a_"/>
    <s v="FD13FCSBLA013"/>
  </r>
  <r>
    <s v="GM09CMR014"/>
    <s v="GM"/>
    <s v="General Motors"/>
    <s v="CMR"/>
    <s v="Camero"/>
    <s v="09"/>
    <n v="5"/>
    <n v="28464.799999999999"/>
    <n v="5692.96"/>
    <s v="White"/>
    <x v="10"/>
    <n v="100000"/>
    <s v="Yes"/>
    <s v="_x000a_"/>
    <s v="GM09CMRWHI014"/>
  </r>
  <r>
    <s v="GM12CMR015"/>
    <s v="GM"/>
    <s v="General Motors"/>
    <s v="CMR"/>
    <s v="Camero"/>
    <s v="12"/>
    <n v="2"/>
    <n v="19421.099999999999"/>
    <n v="9710.5499999999993"/>
    <s v="Black"/>
    <x v="11"/>
    <n v="100000"/>
    <s v="Yes"/>
    <s v="_x000a_"/>
    <s v="GM12CMRBLA015"/>
  </r>
  <r>
    <s v="GM14CMR016"/>
    <s v="GM"/>
    <s v="General Motors"/>
    <s v="CMR"/>
    <s v="Camero"/>
    <s v="14"/>
    <n v="0"/>
    <n v="14289.6"/>
    <s v="New Car"/>
    <s v="White"/>
    <x v="12"/>
    <n v="100000"/>
    <s v="Yes"/>
    <s v="_x000a_"/>
    <s v="GM14CMRWHI016"/>
  </r>
  <r>
    <s v="GM10SLV017"/>
    <s v="GM"/>
    <s v="General Motors"/>
    <s v="SLV"/>
    <s v="Silverado"/>
    <s v="10"/>
    <n v="4"/>
    <n v="31144.400000000001"/>
    <n v="7786.1"/>
    <s v="Black"/>
    <x v="13"/>
    <n v="100000"/>
    <s v="Yes"/>
    <s v="_x000a_"/>
    <s v="GM10SLVBLA017"/>
  </r>
  <r>
    <s v="GM98SLV018"/>
    <s v="GM"/>
    <s v="General Motors"/>
    <s v="SLV"/>
    <s v="Silverado"/>
    <s v="98"/>
    <n v="28"/>
    <n v="83162.7"/>
    <n v="2970.0964285714285"/>
    <s v="Black"/>
    <x v="10"/>
    <n v="100000"/>
    <s v="Yes"/>
    <s v="_x000a_"/>
    <s v="GM98SLVBLA018"/>
  </r>
  <r>
    <s v="GM00SLV019"/>
    <s v="GM"/>
    <s v="General Motors"/>
    <s v="SLV"/>
    <s v="Silverado"/>
    <s v="00"/>
    <n v="14"/>
    <n v="80685.8"/>
    <n v="5763.2714285714292"/>
    <s v="Blue"/>
    <x v="8"/>
    <n v="100000"/>
    <s v="Yes"/>
    <s v="_x000a_"/>
    <s v="GM00SLVBLU019"/>
  </r>
  <r>
    <s v="TY96CAM020"/>
    <s v="TY"/>
    <s v="Toyota"/>
    <s v="CAM"/>
    <s v="Camry"/>
    <s v="96"/>
    <n v="30"/>
    <n v="114660.6"/>
    <n v="3822.02"/>
    <s v="Green"/>
    <x v="14"/>
    <n v="100000"/>
    <s v="Not Covered"/>
    <s v="_x000a_"/>
    <s v="TY96CAMGRE020"/>
  </r>
  <r>
    <s v="TY98CAM021"/>
    <s v="TY"/>
    <s v="Toyota"/>
    <s v="CAM"/>
    <s v="Camry"/>
    <s v="98"/>
    <n v="28"/>
    <n v="93382.6"/>
    <n v="3335.0928571428572"/>
    <s v="Black"/>
    <x v="15"/>
    <n v="100000"/>
    <s v="Yes"/>
    <s v="_x000a_"/>
    <s v="TY98CAMBLA021"/>
  </r>
  <r>
    <s v="TY00CAM022"/>
    <s v="TY"/>
    <s v="Toyota"/>
    <s v="CAM"/>
    <s v="Camry"/>
    <s v="00"/>
    <n v="14"/>
    <n v="85928"/>
    <n v="6137.7142857142853"/>
    <s v="Green"/>
    <x v="4"/>
    <n v="100000"/>
    <s v="Yes"/>
    <s v="_x000a_"/>
    <s v="TY00CAMGRE022"/>
  </r>
  <r>
    <s v="TY02CAM023"/>
    <s v="TY"/>
    <s v="Toyota"/>
    <s v="CAM"/>
    <s v="Camry"/>
    <s v="02"/>
    <n v="12"/>
    <n v="67829.100000000006"/>
    <n v="5652.4250000000002"/>
    <s v="Black"/>
    <x v="0"/>
    <n v="100000"/>
    <s v="Yes"/>
    <s v="_x000a_"/>
    <s v="TY02CAMBLA023"/>
  </r>
  <r>
    <s v="TY09CAM024"/>
    <s v="TY"/>
    <s v="Toyota"/>
    <s v="CAM"/>
    <s v="Camry"/>
    <s v="09"/>
    <n v="5"/>
    <n v="48114.2"/>
    <n v="9622.84"/>
    <s v="White"/>
    <x v="5"/>
    <n v="100000"/>
    <s v="Yes"/>
    <s v="_x000a_"/>
    <s v="TY09CAMWHI024"/>
  </r>
  <r>
    <s v="TY02COR025"/>
    <s v="TY"/>
    <s v="Toyota"/>
    <s v="COR"/>
    <s v="Corola"/>
    <s v="02"/>
    <n v="12"/>
    <n v="64467.4"/>
    <n v="5372.2833333333338"/>
    <s v="Red"/>
    <x v="16"/>
    <n v="100000"/>
    <s v="Yes"/>
    <s v="_x000a_"/>
    <s v="TY02CORRED025"/>
  </r>
  <r>
    <s v="TY03COR026"/>
    <s v="TY"/>
    <s v="Toyota"/>
    <s v="COR"/>
    <s v="Corola"/>
    <s v="03"/>
    <n v="11"/>
    <n v="73444.399999999994"/>
    <n v="6676.7636363636357"/>
    <s v="Black"/>
    <x v="16"/>
    <n v="100000"/>
    <s v="Yes"/>
    <s v="_x000a_"/>
    <s v="TY03CORBLA026"/>
  </r>
  <r>
    <s v="TY12COR028"/>
    <s v="TY"/>
    <s v="Toyota"/>
    <s v="COR"/>
    <s v="Corola"/>
    <s v="12"/>
    <n v="2"/>
    <n v="29601.9"/>
    <n v="14800.95"/>
    <s v="Black"/>
    <x v="10"/>
    <n v="100000"/>
    <s v="Yes"/>
    <s v="_x000a_"/>
    <s v="TY12CORBLA028"/>
  </r>
  <r>
    <s v="TY12CAM029"/>
    <s v="TY"/>
    <s v="Toyota"/>
    <s v="CAM"/>
    <s v="Camry"/>
    <s v="12"/>
    <n v="2"/>
    <n v="22128.2"/>
    <n v="11064.1"/>
    <s v="Blue"/>
    <x v="14"/>
    <n v="100000"/>
    <s v="Yes"/>
    <s v="_x000a_"/>
    <s v="TY12CAMBLU029"/>
  </r>
  <r>
    <s v="HO99CIV030"/>
    <s v="HO"/>
    <s v="Honda"/>
    <s v="CIV"/>
    <s v="Civic"/>
    <s v="99"/>
    <n v="27"/>
    <n v="82374"/>
    <n v="3050.8888888888887"/>
    <s v="White"/>
    <x v="9"/>
    <n v="75000"/>
    <s v="Not Covered"/>
    <s v="_x000a_"/>
    <s v="HO99CIVWHI030"/>
  </r>
  <r>
    <s v="HO01CIV031"/>
    <s v="HO"/>
    <s v="Honda"/>
    <s v="CIV"/>
    <s v="Civic"/>
    <s v="01"/>
    <n v="13"/>
    <n v="69891.899999999994"/>
    <n v="5376.2999999999993"/>
    <s v="Blue"/>
    <x v="3"/>
    <n v="75000"/>
    <s v="Yes"/>
    <s v="_x000a_"/>
    <s v="HO01CIVBLU031"/>
  </r>
  <r>
    <s v="HO10CIV032"/>
    <s v="HO"/>
    <s v="Honda"/>
    <s v="CIV"/>
    <s v="Civic"/>
    <s v="10"/>
    <n v="4"/>
    <n v="22573"/>
    <n v="5643.25"/>
    <s v="Blue"/>
    <x v="12"/>
    <n v="75000"/>
    <s v="Yes"/>
    <s v="_x000a_"/>
    <s v="HO10CIVBLU032"/>
  </r>
  <r>
    <s v="HO10CIV033"/>
    <s v="HO"/>
    <s v="Honda"/>
    <s v="CIV"/>
    <s v="Civic"/>
    <s v="10"/>
    <n v="4"/>
    <n v="33477.199999999997"/>
    <n v="8369.2999999999993"/>
    <s v="Black"/>
    <x v="15"/>
    <n v="75000"/>
    <s v="Yes"/>
    <s v="_x000a_"/>
    <s v="HO10CIVBLA033"/>
  </r>
  <r>
    <s v="HO11CIV034"/>
    <s v="HO"/>
    <s v="Honda"/>
    <s v="CIV"/>
    <s v="Civic"/>
    <s v="11"/>
    <n v="3"/>
    <n v="30555.3"/>
    <n v="10185.1"/>
    <s v="Black"/>
    <x v="2"/>
    <n v="75000"/>
    <s v="Yes"/>
    <s v="_x000a_"/>
    <s v="HO11CIVBLA034"/>
  </r>
  <r>
    <s v="HO12CIV035"/>
    <s v="HO"/>
    <s v="Honda"/>
    <s v="CIV"/>
    <s v="Civic"/>
    <s v="12"/>
    <n v="2"/>
    <n v="24513.200000000001"/>
    <n v="12256.6"/>
    <s v="Black"/>
    <x v="13"/>
    <n v="75000"/>
    <s v="Yes"/>
    <s v="_x000a_"/>
    <s v="HO12CIVBLA035"/>
  </r>
  <r>
    <s v="HO13CIV036"/>
    <s v="HO"/>
    <s v="Honda"/>
    <s v="CIV"/>
    <s v="Civic"/>
    <s v="13"/>
    <n v="1"/>
    <n v="13867.6"/>
    <n v="13867.6"/>
    <s v="Black"/>
    <x v="14"/>
    <n v="75000"/>
    <s v="Yes"/>
    <s v="_x000a_"/>
    <s v="HO13CIVBLA036"/>
  </r>
  <r>
    <s v="HO05ODY037"/>
    <s v="HO"/>
    <s v="Honda"/>
    <s v="ODY"/>
    <s v="Odyssey"/>
    <s v="05"/>
    <n v="9"/>
    <n v="60389.5"/>
    <n v="6709.9444444444443"/>
    <s v="White"/>
    <x v="5"/>
    <n v="100000"/>
    <s v="Yes"/>
    <s v="_x000a_"/>
    <s v="HO05ODYWHI037"/>
  </r>
  <r>
    <s v="HO07ODY038"/>
    <s v="HO"/>
    <s v="Honda"/>
    <s v="ODY"/>
    <s v="Odyssey"/>
    <s v="07"/>
    <n v="7"/>
    <n v="50854.1"/>
    <n v="7264.8714285714286"/>
    <s v="Black"/>
    <x v="15"/>
    <n v="100000"/>
    <s v="Yes"/>
    <s v="_x000a_"/>
    <s v="HO07ODYBLA038"/>
  </r>
  <r>
    <s v="HO08ODY039"/>
    <s v="HO"/>
    <s v="Honda"/>
    <s v="ODY"/>
    <s v="Odyssey"/>
    <s v="08"/>
    <n v="6"/>
    <n v="42504.6"/>
    <n v="7084.0999999999995"/>
    <s v="White"/>
    <x v="9"/>
    <n v="100000"/>
    <s v="Yes"/>
    <s v="_x000a_"/>
    <s v="HO08ODYWHI039"/>
  </r>
  <r>
    <s v="HO010ODY040"/>
    <s v="HO"/>
    <s v="Honda"/>
    <s v="0OD"/>
    <e v="#N/A"/>
    <s v="01"/>
    <n v="13"/>
    <n v="68658.899999999994"/>
    <n v="5281.4538461538459"/>
    <s v="Black"/>
    <x v="0"/>
    <n v="100000"/>
    <s v="Yes"/>
    <s v="_x000a_"/>
    <s v="HO010ODBLA040"/>
  </r>
  <r>
    <s v="HO14ODY041"/>
    <s v="HO"/>
    <s v="Honda"/>
    <s v="ODY"/>
    <s v="Odyssey"/>
    <s v="14"/>
    <n v="0"/>
    <n v="3708.1"/>
    <s v="New Car"/>
    <s v="Black"/>
    <x v="1"/>
    <n v="100000"/>
    <s v="Yes"/>
    <s v="_x000a_"/>
    <s v="HO14ODYBLA041"/>
  </r>
  <r>
    <s v="CR04PTC042"/>
    <s v="CR"/>
    <s v="Chrysler"/>
    <s v="PTC"/>
    <s v="PT Cruiser"/>
    <s v="04"/>
    <n v="10"/>
    <n v="64542"/>
    <n v="6454.2"/>
    <s v="Blue"/>
    <x v="0"/>
    <n v="75000"/>
    <s v="Yes"/>
    <s v="_x000a_"/>
    <s v="CR04PTCBLU042"/>
  </r>
  <r>
    <s v="CR07PTC043"/>
    <s v="CR"/>
    <s v="Chrysler"/>
    <s v="PTC"/>
    <s v="PT Cruiser"/>
    <s v="07"/>
    <n v="7"/>
    <n v="42074.2"/>
    <n v="6010.5999999999995"/>
    <s v="Green"/>
    <x v="16"/>
    <n v="75000"/>
    <s v="Yes"/>
    <s v="_x000a_"/>
    <s v="CR07PTCGRE043"/>
  </r>
  <r>
    <s v="CR11PTC044"/>
    <s v="CR"/>
    <s v="Chrysler"/>
    <s v="PTC"/>
    <s v="PT Cruiser"/>
    <s v="11"/>
    <n v="3"/>
    <n v="27394.2"/>
    <n v="9131.4"/>
    <s v="Black"/>
    <x v="8"/>
    <n v="75000"/>
    <s v="Yes"/>
    <s v="_x000a_"/>
    <s v="CR11PTCBLA044"/>
  </r>
  <r>
    <s v="CR99CAR045"/>
    <s v="CR"/>
    <s v="Chrysler"/>
    <s v="CAR"/>
    <s v="Caravan"/>
    <s v="99"/>
    <n v="27"/>
    <n v="79420.600000000006"/>
    <n v="2941.5037037037041"/>
    <s v="Green"/>
    <x v="13"/>
    <n v="75000"/>
    <s v="Not Covered"/>
    <s v="_x000a_"/>
    <s v="CR99CARGRE045"/>
  </r>
  <r>
    <s v="CR00CAR046"/>
    <s v="CR"/>
    <s v="Chrysler"/>
    <s v="CAR"/>
    <s v="Caravan"/>
    <s v="00"/>
    <n v="14"/>
    <n v="77243.100000000006"/>
    <n v="5517.3642857142859"/>
    <s v="Black"/>
    <x v="3"/>
    <n v="75000"/>
    <s v="Not Covered"/>
    <s v="_x000a_"/>
    <s v="CR00CARBLA046"/>
  </r>
  <r>
    <s v="CR04CAR047"/>
    <s v="CR"/>
    <s v="Chrysler"/>
    <s v="CAR"/>
    <s v="Caravan"/>
    <s v="04"/>
    <n v="10"/>
    <n v="72527.199999999997"/>
    <n v="7252.7199999999993"/>
    <s v="White"/>
    <x v="11"/>
    <n v="75000"/>
    <s v="Yes"/>
    <s v="_x000a_"/>
    <s v="CR04CARWHI047"/>
  </r>
  <r>
    <s v="CR04CAR048"/>
    <s v="CR"/>
    <s v="Chrysler"/>
    <s v="CAR"/>
    <s v="Caravan"/>
    <s v="04"/>
    <n v="10"/>
    <n v="52699.4"/>
    <n v="5269.9400000000005"/>
    <s v="Red"/>
    <x v="11"/>
    <n v="75000"/>
    <s v="Yes"/>
    <s v="_x000a_"/>
    <s v="CR04CARRED048"/>
  </r>
  <r>
    <s v="HY11ELA049"/>
    <s v="HY"/>
    <s v="Hundai"/>
    <s v="ELA"/>
    <s v="Elantra"/>
    <s v="11"/>
    <n v="3"/>
    <n v="29102.3"/>
    <n v="9700.7666666666664"/>
    <s v="Black"/>
    <x v="12"/>
    <n v="100000"/>
    <s v="Yes"/>
    <s v="_x000a_"/>
    <s v="HY11ELABLA049"/>
  </r>
  <r>
    <s v="HY12ELA050"/>
    <s v="HY"/>
    <s v="Hundai"/>
    <s v="ELA"/>
    <s v="Elantra"/>
    <s v="12"/>
    <n v="2"/>
    <n v="22282"/>
    <n v="11141"/>
    <s v="Blue"/>
    <x v="1"/>
    <n v="100000"/>
    <s v="Yes"/>
    <s v="_x000a_"/>
    <s v="HY12ELABLU050"/>
  </r>
  <r>
    <s v="HY13ELA051"/>
    <s v="HY"/>
    <s v="Hundai"/>
    <s v="ELA"/>
    <s v="Elantra"/>
    <s v="13"/>
    <n v="1"/>
    <n v="20223.900000000001"/>
    <n v="20223.900000000001"/>
    <s v="Black"/>
    <x v="6"/>
    <n v="100000"/>
    <s v="Yes"/>
    <s v="_x000a_"/>
    <s v="HY13ELABLA051"/>
  </r>
  <r>
    <s v="HY13ELA052"/>
    <s v="HY"/>
    <s v="Hundai"/>
    <s v="ELA"/>
    <s v="Elantra"/>
    <s v="13"/>
    <n v="1"/>
    <n v="22188.5"/>
    <n v="22188.5"/>
    <s v="Blue"/>
    <x v="4"/>
    <n v="100000"/>
    <s v="Yes"/>
    <s v="_x000a_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CA1C2-9EDE-4199-BCAD-5C5A7BC6297F}" name="PivotTable1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1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18">
    <i>
      <x v="12"/>
    </i>
    <i>
      <x v="6"/>
    </i>
    <i>
      <x v="3"/>
    </i>
    <i>
      <x v="13"/>
    </i>
    <i>
      <x v="2"/>
    </i>
    <i>
      <x v="1"/>
    </i>
    <i>
      <x/>
    </i>
    <i>
      <x v="4"/>
    </i>
    <i>
      <x v="11"/>
    </i>
    <i>
      <x v="10"/>
    </i>
    <i>
      <x v="5"/>
    </i>
    <i>
      <x v="15"/>
    </i>
    <i>
      <x v="7"/>
    </i>
    <i>
      <x v="8"/>
    </i>
    <i>
      <x v="14"/>
    </i>
    <i>
      <x v="9"/>
    </i>
    <i>
      <x v="16"/>
    </i>
    <i t="grand">
      <x/>
    </i>
  </rowItems>
  <colItems count="1">
    <i/>
  </colItems>
  <dataFields count="1">
    <dataField name="Sum of Miles" fld="7" baseField="0" baseItem="0" numFmtId="43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G1" workbookViewId="0">
      <selection activeCell="J59" sqref="J59"/>
    </sheetView>
  </sheetViews>
  <sheetFormatPr defaultRowHeight="15"/>
  <cols>
    <col min="1" max="1" width="14.7109375" customWidth="1"/>
    <col min="3" max="3" width="14" bestFit="1" customWidth="1"/>
    <col min="4" max="4" width="14.5703125" bestFit="1" customWidth="1"/>
    <col min="5" max="5" width="14.7109375" bestFit="1" customWidth="1"/>
    <col min="6" max="6" width="14" bestFit="1" customWidth="1"/>
    <col min="7" max="7" width="9.7109375" bestFit="1" customWidth="1"/>
    <col min="9" max="9" width="9.5703125" bestFit="1" customWidth="1"/>
    <col min="12" max="12" width="12.42578125" bestFit="1" customWidth="1"/>
    <col min="13" max="13" width="14.85546875" customWidth="1"/>
    <col min="14" max="14" width="0" hidden="1" customWidth="1"/>
    <col min="15" max="15" width="21.14062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</row>
    <row r="2" spans="1:15">
      <c r="A2" s="15" t="s">
        <v>15</v>
      </c>
      <c r="B2" s="5" t="str">
        <f>LEFT(A2,2)</f>
        <v>FD</v>
      </c>
      <c r="C2" s="5" t="str">
        <f>VLOOKUP(B2,C$58:D$63,2)</f>
        <v>Ford</v>
      </c>
      <c r="D2" s="5" t="str">
        <f>MID(A2,5,3)</f>
        <v>FCS</v>
      </c>
      <c r="E2" s="5" t="str">
        <f>VLOOKUP(D2,$F$58:$G$68,2)</f>
        <v>Focus</v>
      </c>
      <c r="F2" s="5" t="str">
        <f>MID(A2, 3, 2)</f>
        <v>13</v>
      </c>
      <c r="G2" s="5">
        <f>IF(VALUE(F2)&gt;14,2026-(1900+VALUE(F2)),2026-(2000+VALUE(F2)))</f>
        <v>13</v>
      </c>
      <c r="H2" s="17">
        <v>27637.1</v>
      </c>
      <c r="I2" s="5">
        <f>IF(G2=0,0, H2/G2)</f>
        <v>2125.9307692307693</v>
      </c>
      <c r="J2" s="17" t="s">
        <v>16</v>
      </c>
      <c r="K2" s="17" t="s">
        <v>17</v>
      </c>
      <c r="L2" s="17">
        <v>75000</v>
      </c>
      <c r="M2" s="5" t="str">
        <f>IF(H2&lt;=L2, "Yes", "Not Covered")</f>
        <v>Yes</v>
      </c>
      <c r="N2" s="19" t="s">
        <v>18</v>
      </c>
      <c r="O2" s="5" t="str">
        <f>CONCATENATE(B2,F2,D2,UPPER(LEFT(J2,3)),RIGHT(A2,3))</f>
        <v>FD13FCSBLA009</v>
      </c>
    </row>
    <row r="3" spans="1:15">
      <c r="A3" s="14" t="s">
        <v>19</v>
      </c>
      <c r="B3" s="5" t="str">
        <f>LEFT(A3,2)</f>
        <v>FD</v>
      </c>
      <c r="C3" s="5" t="str">
        <f>VLOOKUP(B3,C$58:D$63,2)</f>
        <v>Ford</v>
      </c>
      <c r="D3" s="5" t="str">
        <f>MID(A3,5,3)</f>
        <v>FCS</v>
      </c>
      <c r="E3" s="5" t="str">
        <f>VLOOKUP(D3,$F$58:$G$68,2)</f>
        <v>Focus</v>
      </c>
      <c r="F3" s="5" t="str">
        <f>MID(A3, 3, 2)</f>
        <v>13</v>
      </c>
      <c r="G3" s="5">
        <f t="shared" ref="G3:G52" si="0">IF(VALUE(F3)&gt;14,2026-(1900+VALUE(F3)),2026-(2000+VALUE(F3)))</f>
        <v>13</v>
      </c>
      <c r="H3" s="16">
        <v>27534.799999999999</v>
      </c>
      <c r="I3" s="5">
        <f>IF(G3=0,0, H3/G3)</f>
        <v>2118.0615384615385</v>
      </c>
      <c r="J3" s="16" t="s">
        <v>20</v>
      </c>
      <c r="K3" s="16" t="s">
        <v>21</v>
      </c>
      <c r="L3" s="16">
        <v>75000</v>
      </c>
      <c r="M3" s="5" t="str">
        <f>IF(H3&lt;=L3, "Yes", "Not Covered")</f>
        <v>Yes</v>
      </c>
      <c r="N3" s="18" t="s">
        <v>18</v>
      </c>
      <c r="O3" s="5" t="str">
        <f>CONCATENATE(B3,F3,D3,UPPER(LEFT(J3,3)),RIGHT(A3,3))</f>
        <v>FD13FCSWHI010</v>
      </c>
    </row>
    <row r="4" spans="1:15">
      <c r="A4" s="8" t="s">
        <v>22</v>
      </c>
      <c r="B4" s="5" t="str">
        <f>LEFT(A4,2)</f>
        <v>FD</v>
      </c>
      <c r="C4" s="5" t="str">
        <f>VLOOKUP(B4,C$58:D$63,2)</f>
        <v>Ford</v>
      </c>
      <c r="D4" s="5" t="str">
        <f>MID(A4,5,3)</f>
        <v>FCS</v>
      </c>
      <c r="E4" s="5" t="str">
        <f>VLOOKUP(D4,$F$58:$G$68,2)</f>
        <v>Focus</v>
      </c>
      <c r="F4" s="5" t="str">
        <f>MID(A4, 3, 2)</f>
        <v>13</v>
      </c>
      <c r="G4" s="5">
        <f t="shared" si="0"/>
        <v>13</v>
      </c>
      <c r="H4" s="9">
        <v>22521.599999999999</v>
      </c>
      <c r="I4" s="5">
        <f>IF(G4=0,0, H4/G4)</f>
        <v>1732.4307692307691</v>
      </c>
      <c r="J4" s="9" t="s">
        <v>16</v>
      </c>
      <c r="K4" s="9" t="s">
        <v>23</v>
      </c>
      <c r="L4" s="9">
        <v>75000</v>
      </c>
      <c r="M4" s="5" t="str">
        <f>IF(H4&lt;=L4, "Yes", "Not Covered")</f>
        <v>Yes</v>
      </c>
      <c r="N4" s="10" t="s">
        <v>18</v>
      </c>
      <c r="O4" s="5" t="str">
        <f>CONCATENATE(B4,F4,D4,UPPER(LEFT(J4,3)),RIGHT(A4,3))</f>
        <v>FD13FCSBLA012</v>
      </c>
    </row>
    <row r="5" spans="1:15">
      <c r="A5" s="14" t="s">
        <v>24</v>
      </c>
      <c r="B5" s="5" t="str">
        <f>LEFT(A5,2)</f>
        <v>HY</v>
      </c>
      <c r="C5" s="5" t="str">
        <f>VLOOKUP(B5,C$58:D$63,2)</f>
        <v>Hundai</v>
      </c>
      <c r="D5" s="5" t="str">
        <f>MID(A5,5,3)</f>
        <v>ELA</v>
      </c>
      <c r="E5" s="5" t="str">
        <f>VLOOKUP(D5,$F$58:$G$68,2)</f>
        <v>Elantra</v>
      </c>
      <c r="F5" s="5" t="str">
        <f>MID(A5, 3, 2)</f>
        <v>13</v>
      </c>
      <c r="G5" s="5">
        <f t="shared" si="0"/>
        <v>13</v>
      </c>
      <c r="H5" s="16">
        <v>22188.5</v>
      </c>
      <c r="I5" s="5">
        <f>IF(G5=0,0, H5/G5)</f>
        <v>1706.8076923076924</v>
      </c>
      <c r="J5" s="16" t="s">
        <v>25</v>
      </c>
      <c r="K5" s="16" t="s">
        <v>26</v>
      </c>
      <c r="L5" s="16">
        <v>100000</v>
      </c>
      <c r="M5" s="5" t="str">
        <f>IF(H5&lt;=L5, "Yes", "Not Covered")</f>
        <v>Yes</v>
      </c>
      <c r="N5" s="18" t="s">
        <v>18</v>
      </c>
      <c r="O5" s="5" t="str">
        <f>CONCATENATE(B5,F5,D5,UPPER(LEFT(J5,3)),RIGHT(A5,3))</f>
        <v>HY13ELABLU052</v>
      </c>
    </row>
    <row r="6" spans="1:15">
      <c r="A6" s="15" t="s">
        <v>27</v>
      </c>
      <c r="B6" s="5" t="str">
        <f>LEFT(A6,2)</f>
        <v>HY</v>
      </c>
      <c r="C6" s="5" t="str">
        <f>VLOOKUP(B6,C$58:D$63,2)</f>
        <v>Hundai</v>
      </c>
      <c r="D6" s="5" t="str">
        <f>MID(A6,5,3)</f>
        <v>ELA</v>
      </c>
      <c r="E6" s="5" t="str">
        <f>VLOOKUP(D6,$F$58:$G$68,2)</f>
        <v>Elantra</v>
      </c>
      <c r="F6" s="5" t="str">
        <f>MID(A6, 3, 2)</f>
        <v>13</v>
      </c>
      <c r="G6" s="5">
        <f t="shared" si="0"/>
        <v>13</v>
      </c>
      <c r="H6" s="17">
        <v>20223.900000000001</v>
      </c>
      <c r="I6" s="5">
        <f>IF(G6=0,0, H6/G6)</f>
        <v>1555.6846153846154</v>
      </c>
      <c r="J6" s="17" t="s">
        <v>16</v>
      </c>
      <c r="K6" s="17" t="s">
        <v>21</v>
      </c>
      <c r="L6" s="17">
        <v>100000</v>
      </c>
      <c r="M6" s="5" t="str">
        <f>IF(H6&lt;=L6, "Yes", "Not Covered")</f>
        <v>Yes</v>
      </c>
      <c r="N6" s="19" t="s">
        <v>18</v>
      </c>
      <c r="O6" s="5" t="str">
        <f>CONCATENATE(B6,F6,D6,UPPER(LEFT(J6,3)),RIGHT(A6,3))</f>
        <v>HY13ELABLA051</v>
      </c>
    </row>
    <row r="7" spans="1:15">
      <c r="A7" s="14" t="s">
        <v>28</v>
      </c>
      <c r="B7" s="5" t="str">
        <f>LEFT(A7,2)</f>
        <v>TY</v>
      </c>
      <c r="C7" s="5" t="str">
        <f>VLOOKUP(B7,C$58:D$63,2)</f>
        <v>Toyota</v>
      </c>
      <c r="D7" s="5" t="str">
        <f>MID(A7,5,3)</f>
        <v>COR</v>
      </c>
      <c r="E7" s="5" t="str">
        <f>VLOOKUP(D7,$F$58:$G$68,2)</f>
        <v>Corola</v>
      </c>
      <c r="F7" s="5" t="str">
        <f>MID(A7, 3, 2)</f>
        <v>12</v>
      </c>
      <c r="G7" s="5">
        <f t="shared" si="0"/>
        <v>14</v>
      </c>
      <c r="H7" s="16">
        <v>29601.9</v>
      </c>
      <c r="I7" s="5">
        <f>IF(G7=0,0, H7/G7)</f>
        <v>2114.4214285714288</v>
      </c>
      <c r="J7" s="16" t="s">
        <v>16</v>
      </c>
      <c r="K7" s="16" t="s">
        <v>29</v>
      </c>
      <c r="L7" s="16">
        <v>100000</v>
      </c>
      <c r="M7" s="5" t="str">
        <f>IF(H7&lt;=L7, "Yes", "Not Covered")</f>
        <v>Yes</v>
      </c>
      <c r="N7" s="18" t="s">
        <v>18</v>
      </c>
      <c r="O7" s="5" t="str">
        <f>CONCATENATE(B7,F7,D7,UPPER(LEFT(J7,3)),RIGHT(A7,3))</f>
        <v>TY12CORBLA028</v>
      </c>
    </row>
    <row r="8" spans="1:15">
      <c r="A8" s="8" t="s">
        <v>30</v>
      </c>
      <c r="B8" s="5" t="str">
        <f>LEFT(A8,2)</f>
        <v>HO</v>
      </c>
      <c r="C8" s="5" t="str">
        <f>VLOOKUP(B8,C$58:D$63,2)</f>
        <v>Honda</v>
      </c>
      <c r="D8" s="5" t="str">
        <f>MID(A8,5,3)</f>
        <v>CIV</v>
      </c>
      <c r="E8" s="5" t="str">
        <f>VLOOKUP(D8,$F$58:$G$68,2)</f>
        <v>Civic</v>
      </c>
      <c r="F8" s="5" t="str">
        <f>MID(A8, 3, 2)</f>
        <v>13</v>
      </c>
      <c r="G8" s="5">
        <f t="shared" si="0"/>
        <v>13</v>
      </c>
      <c r="H8" s="9">
        <v>13867.6</v>
      </c>
      <c r="I8" s="5">
        <f>IF(G8=0,0, H8/G8)</f>
        <v>1066.7384615384615</v>
      </c>
      <c r="J8" s="9" t="s">
        <v>16</v>
      </c>
      <c r="K8" s="9" t="s">
        <v>31</v>
      </c>
      <c r="L8" s="9">
        <v>75000</v>
      </c>
      <c r="M8" s="5" t="str">
        <f>IF(H8&lt;=L8, "Yes", "Not Covered")</f>
        <v>Yes</v>
      </c>
      <c r="N8" s="10" t="s">
        <v>18</v>
      </c>
      <c r="O8" s="5" t="str">
        <f>CONCATENATE(B8,F8,D8,UPPER(LEFT(J8,3)),RIGHT(A8,3))</f>
        <v>HO13CIVBLA036</v>
      </c>
    </row>
    <row r="9" spans="1:15">
      <c r="A9" s="4" t="s">
        <v>32</v>
      </c>
      <c r="B9" s="5" t="str">
        <f>LEFT(A9,2)</f>
        <v>FD</v>
      </c>
      <c r="C9" s="5" t="str">
        <f>VLOOKUP(B9,C$58:D$63,2)</f>
        <v>Ford</v>
      </c>
      <c r="D9" s="5" t="str">
        <f>MID(A9,5,3)</f>
        <v>FCS</v>
      </c>
      <c r="E9" s="5" t="str">
        <f>VLOOKUP(D9,$F$58:$G$68,2)</f>
        <v>Focus</v>
      </c>
      <c r="F9" s="5" t="str">
        <f>MID(A9, 3, 2)</f>
        <v>13</v>
      </c>
      <c r="G9" s="5">
        <f t="shared" si="0"/>
        <v>13</v>
      </c>
      <c r="H9" s="6">
        <v>13682.9</v>
      </c>
      <c r="I9" s="5">
        <f>IF(G9=0,0, H9/G9)</f>
        <v>1052.5307692307692</v>
      </c>
      <c r="J9" s="6" t="s">
        <v>16</v>
      </c>
      <c r="K9" s="6" t="s">
        <v>33</v>
      </c>
      <c r="L9" s="6">
        <v>75000</v>
      </c>
      <c r="M9" s="5" t="str">
        <f>IF(H9&lt;=L9, "Yes", "Not Covered")</f>
        <v>Yes</v>
      </c>
      <c r="N9" s="7" t="s">
        <v>18</v>
      </c>
      <c r="O9" s="5" t="str">
        <f>CONCATENATE(B9,F9,D9,UPPER(LEFT(J9,3)),RIGHT(A9,3))</f>
        <v>FD13FCSBLA013</v>
      </c>
    </row>
    <row r="10" spans="1:15">
      <c r="A10" s="15" t="s">
        <v>34</v>
      </c>
      <c r="B10" s="5" t="str">
        <f>LEFT(A10,2)</f>
        <v>HO</v>
      </c>
      <c r="C10" s="5" t="str">
        <f>VLOOKUP(B10,C$58:D$63,2)</f>
        <v>Honda</v>
      </c>
      <c r="D10" s="5" t="str">
        <f>MID(A10,5,3)</f>
        <v>CIV</v>
      </c>
      <c r="E10" s="5" t="str">
        <f>VLOOKUP(D10,$F$58:$G$68,2)</f>
        <v>Civic</v>
      </c>
      <c r="F10" s="5" t="str">
        <f>MID(A10, 3, 2)</f>
        <v>12</v>
      </c>
      <c r="G10" s="5">
        <f t="shared" si="0"/>
        <v>14</v>
      </c>
      <c r="H10" s="17">
        <v>24513.200000000001</v>
      </c>
      <c r="I10" s="5">
        <f>IF(G10=0,0, H10/G10)</f>
        <v>1750.9428571428573</v>
      </c>
      <c r="J10" s="17" t="s">
        <v>16</v>
      </c>
      <c r="K10" s="17" t="s">
        <v>35</v>
      </c>
      <c r="L10" s="17">
        <v>75000</v>
      </c>
      <c r="M10" s="5" t="str">
        <f>IF(H10&lt;=L10, "Yes", "Not Covered")</f>
        <v>Yes</v>
      </c>
      <c r="N10" s="19" t="s">
        <v>18</v>
      </c>
      <c r="O10" s="5" t="str">
        <f>CONCATENATE(B10,F10,D10,UPPER(LEFT(J10,3)),RIGHT(A10,3))</f>
        <v>HO12CIVBLA035</v>
      </c>
    </row>
    <row r="11" spans="1:15">
      <c r="A11" s="14" t="s">
        <v>36</v>
      </c>
      <c r="B11" s="5" t="str">
        <f>LEFT(A11,2)</f>
        <v>HY</v>
      </c>
      <c r="C11" s="5" t="str">
        <f>VLOOKUP(B11,C$58:D$63,2)</f>
        <v>Hundai</v>
      </c>
      <c r="D11" s="5" t="str">
        <f>MID(A11,5,3)</f>
        <v>ELA</v>
      </c>
      <c r="E11" s="5" t="str">
        <f>VLOOKUP(D11,$F$58:$G$68,2)</f>
        <v>Elantra</v>
      </c>
      <c r="F11" s="5" t="str">
        <f>MID(A11, 3, 2)</f>
        <v>12</v>
      </c>
      <c r="G11" s="5">
        <f t="shared" si="0"/>
        <v>14</v>
      </c>
      <c r="H11" s="16">
        <v>22282</v>
      </c>
      <c r="I11" s="5">
        <f>IF(G11=0,0, H11/G11)</f>
        <v>1591.5714285714287</v>
      </c>
      <c r="J11" s="16" t="s">
        <v>25</v>
      </c>
      <c r="K11" s="16" t="s">
        <v>37</v>
      </c>
      <c r="L11" s="16">
        <v>100000</v>
      </c>
      <c r="M11" s="5" t="str">
        <f>IF(H11&lt;=L11, "Yes", "Not Covered")</f>
        <v>Yes</v>
      </c>
      <c r="N11" s="18" t="s">
        <v>18</v>
      </c>
      <c r="O11" s="5" t="str">
        <f>CONCATENATE(B11,F11,D11,UPPER(LEFT(J11,3)),RIGHT(A11,3))</f>
        <v>HY12ELABLU050</v>
      </c>
    </row>
    <row r="12" spans="1:15">
      <c r="A12" s="15" t="s">
        <v>38</v>
      </c>
      <c r="B12" s="5" t="str">
        <f>LEFT(A12,2)</f>
        <v>TY</v>
      </c>
      <c r="C12" s="5" t="str">
        <f>VLOOKUP(B12,C$58:D$63,2)</f>
        <v>Toyota</v>
      </c>
      <c r="D12" s="5" t="str">
        <f>MID(A12,5,3)</f>
        <v>CAM</v>
      </c>
      <c r="E12" s="5" t="str">
        <f>VLOOKUP(D12,$F$58:$G$68,2)</f>
        <v>Camry</v>
      </c>
      <c r="F12" s="5" t="str">
        <f>MID(A12, 3, 2)</f>
        <v>12</v>
      </c>
      <c r="G12" s="5">
        <f t="shared" si="0"/>
        <v>14</v>
      </c>
      <c r="H12" s="17">
        <v>22128.2</v>
      </c>
      <c r="I12" s="5">
        <f>IF(G12=0,0, H12/G12)</f>
        <v>1580.5857142857144</v>
      </c>
      <c r="J12" s="17" t="s">
        <v>25</v>
      </c>
      <c r="K12" s="17" t="s">
        <v>31</v>
      </c>
      <c r="L12" s="17">
        <v>100000</v>
      </c>
      <c r="M12" s="5" t="str">
        <f>IF(H12&lt;=L12, "Yes", "Not Covered")</f>
        <v>Yes</v>
      </c>
      <c r="N12" s="19" t="s">
        <v>18</v>
      </c>
      <c r="O12" s="5" t="str">
        <f>CONCATENATE(B12,F12,D12,UPPER(LEFT(J12,3)),RIGHT(A12,3))</f>
        <v>TY12CAMBLU029</v>
      </c>
    </row>
    <row r="13" spans="1:15">
      <c r="A13" s="14" t="s">
        <v>39</v>
      </c>
      <c r="B13" s="5" t="str">
        <f>LEFT(A13,2)</f>
        <v>HO</v>
      </c>
      <c r="C13" s="5" t="str">
        <f>VLOOKUP(B13,C$58:D$63,2)</f>
        <v>Honda</v>
      </c>
      <c r="D13" s="5" t="str">
        <f>MID(A13,5,3)</f>
        <v>CIV</v>
      </c>
      <c r="E13" s="5" t="str">
        <f>VLOOKUP(D13,$F$58:$G$68,2)</f>
        <v>Civic</v>
      </c>
      <c r="F13" s="5" t="str">
        <f>MID(A13, 3, 2)</f>
        <v>11</v>
      </c>
      <c r="G13" s="5">
        <f t="shared" si="0"/>
        <v>15</v>
      </c>
      <c r="H13" s="16">
        <v>30555.3</v>
      </c>
      <c r="I13" s="5">
        <f>IF(G13=0,0, H13/G13)</f>
        <v>2037.02</v>
      </c>
      <c r="J13" s="16" t="s">
        <v>16</v>
      </c>
      <c r="K13" s="16" t="s">
        <v>40</v>
      </c>
      <c r="L13" s="16">
        <v>75000</v>
      </c>
      <c r="M13" s="5" t="str">
        <f>IF(H13&lt;=L13, "Yes", "Not Covered")</f>
        <v>Yes</v>
      </c>
      <c r="N13" s="18" t="s">
        <v>18</v>
      </c>
      <c r="O13" s="5" t="str">
        <f>CONCATENATE(B13,F13,D13,UPPER(LEFT(J13,3)),RIGHT(A13,3))</f>
        <v>HO11CIVBLA034</v>
      </c>
    </row>
    <row r="14" spans="1:15">
      <c r="A14" s="15" t="s">
        <v>41</v>
      </c>
      <c r="B14" s="5" t="str">
        <f>LEFT(A14,2)</f>
        <v>GM</v>
      </c>
      <c r="C14" s="5" t="str">
        <f>VLOOKUP(B14,C$58:D$63,2)</f>
        <v>General Motors</v>
      </c>
      <c r="D14" s="5" t="str">
        <f>MID(A14,5,3)</f>
        <v>CMR</v>
      </c>
      <c r="E14" s="5" t="str">
        <f>VLOOKUP(D14,$F$58:$G$68,2)</f>
        <v>Camero</v>
      </c>
      <c r="F14" s="5" t="str">
        <f>MID(A14, 3, 2)</f>
        <v>12</v>
      </c>
      <c r="G14" s="5">
        <f t="shared" si="0"/>
        <v>14</v>
      </c>
      <c r="H14" s="17">
        <v>19421.099999999999</v>
      </c>
      <c r="I14" s="5">
        <f>IF(G14=0,0, H14/G14)</f>
        <v>1387.2214285714285</v>
      </c>
      <c r="J14" s="17" t="s">
        <v>16</v>
      </c>
      <c r="K14" s="17" t="s">
        <v>42</v>
      </c>
      <c r="L14" s="17">
        <v>100000</v>
      </c>
      <c r="M14" s="5" t="str">
        <f>IF(H14&lt;=L14, "Yes", "Not Covered")</f>
        <v>Yes</v>
      </c>
      <c r="N14" s="19" t="s">
        <v>18</v>
      </c>
      <c r="O14" s="5" t="str">
        <f>CONCATENATE(B14,F14,D14,UPPER(LEFT(J14,3)),RIGHT(A14,3))</f>
        <v>GM12CMRBLA015</v>
      </c>
    </row>
    <row r="15" spans="1:15">
      <c r="A15" s="4" t="s">
        <v>43</v>
      </c>
      <c r="B15" s="5" t="str">
        <f>LEFT(A15,2)</f>
        <v>HY</v>
      </c>
      <c r="C15" s="5" t="str">
        <f>VLOOKUP(B15,C$58:D$63,2)</f>
        <v>Hundai</v>
      </c>
      <c r="D15" s="5" t="str">
        <f>MID(A15,5,3)</f>
        <v>ELA</v>
      </c>
      <c r="E15" s="5" t="str">
        <f>VLOOKUP(D15,$F$58:$G$68,2)</f>
        <v>Elantra</v>
      </c>
      <c r="F15" s="5" t="str">
        <f>MID(A15, 3, 2)</f>
        <v>11</v>
      </c>
      <c r="G15" s="5">
        <f t="shared" si="0"/>
        <v>15</v>
      </c>
      <c r="H15" s="6">
        <v>29102.3</v>
      </c>
      <c r="I15" s="5">
        <f>IF(G15=0,0, H15/G15)</f>
        <v>1940.1533333333332</v>
      </c>
      <c r="J15" s="6" t="s">
        <v>16</v>
      </c>
      <c r="K15" s="6" t="s">
        <v>44</v>
      </c>
      <c r="L15" s="6">
        <v>100000</v>
      </c>
      <c r="M15" s="5" t="str">
        <f>IF(H15&lt;=L15, "Yes", "Not Covered")</f>
        <v>Yes</v>
      </c>
      <c r="N15" s="7" t="s">
        <v>18</v>
      </c>
      <c r="O15" s="5" t="str">
        <f>CONCATENATE(B15,F15,D15,UPPER(LEFT(J15,3)),RIGHT(A15,3))</f>
        <v>HY11ELABLA049</v>
      </c>
    </row>
    <row r="16" spans="1:15">
      <c r="A16" s="15" t="s">
        <v>45</v>
      </c>
      <c r="B16" s="5" t="str">
        <f>LEFT(A16,2)</f>
        <v>FD</v>
      </c>
      <c r="C16" s="5" t="str">
        <f>VLOOKUP(B16,C$58:D$63,2)</f>
        <v>Ford</v>
      </c>
      <c r="D16" s="5" t="str">
        <f>MID(A16,5,3)</f>
        <v>FCS</v>
      </c>
      <c r="E16" s="5" t="str">
        <f>VLOOKUP(D16,$F$58:$G$68,2)</f>
        <v>Focus</v>
      </c>
      <c r="F16" s="5" t="str">
        <f>MID(A16, 3, 2)</f>
        <v>12</v>
      </c>
      <c r="G16" s="5">
        <f t="shared" si="0"/>
        <v>14</v>
      </c>
      <c r="H16" s="17">
        <v>19341.7</v>
      </c>
      <c r="I16" s="5">
        <f>IF(G16=0,0, H16/G16)</f>
        <v>1381.55</v>
      </c>
      <c r="J16" s="17" t="s">
        <v>20</v>
      </c>
      <c r="K16" s="17" t="s">
        <v>46</v>
      </c>
      <c r="L16" s="17">
        <v>75000</v>
      </c>
      <c r="M16" s="5" t="str">
        <f>IF(H16&lt;=L16, "Yes", "Not Covered")</f>
        <v>Yes</v>
      </c>
      <c r="N16" s="19" t="s">
        <v>18</v>
      </c>
      <c r="O16" s="5" t="str">
        <f>CONCATENATE(B16,F16,D16,UPPER(LEFT(J16,3)),RIGHT(A16,3))</f>
        <v>FD12FCSWHI011</v>
      </c>
    </row>
    <row r="17" spans="1:15">
      <c r="A17" s="14" t="s">
        <v>47</v>
      </c>
      <c r="B17" s="5" t="str">
        <f>LEFT(A17,2)</f>
        <v>TY</v>
      </c>
      <c r="C17" s="5" t="str">
        <f>VLOOKUP(B17,C$58:D$63,2)</f>
        <v>Toyota</v>
      </c>
      <c r="D17" s="5" t="str">
        <f>MID(A17,5,3)</f>
        <v>CAM</v>
      </c>
      <c r="E17" s="5" t="str">
        <f>VLOOKUP(D17,$F$58:$G$68,2)</f>
        <v>Camry</v>
      </c>
      <c r="F17" s="5" t="str">
        <f>MID(A17, 3, 2)</f>
        <v>09</v>
      </c>
      <c r="G17" s="5">
        <f t="shared" si="0"/>
        <v>17</v>
      </c>
      <c r="H17" s="16">
        <v>48114.2</v>
      </c>
      <c r="I17" s="5">
        <f>IF(G17=0,0, H17/G17)</f>
        <v>2830.2470588235292</v>
      </c>
      <c r="J17" s="16" t="s">
        <v>20</v>
      </c>
      <c r="K17" s="16" t="s">
        <v>48</v>
      </c>
      <c r="L17" s="16">
        <v>100000</v>
      </c>
      <c r="M17" s="5" t="str">
        <f>IF(H17&lt;=L17, "Yes", "Not Covered")</f>
        <v>Yes</v>
      </c>
      <c r="N17" s="18" t="s">
        <v>18</v>
      </c>
      <c r="O17" s="5" t="str">
        <f>CONCATENATE(B17,F17,D17,UPPER(LEFT(J17,3)),RIGHT(A17,3))</f>
        <v>TY09CAMWHI024</v>
      </c>
    </row>
    <row r="18" spans="1:15">
      <c r="A18" s="8" t="s">
        <v>49</v>
      </c>
      <c r="B18" s="5" t="str">
        <f>LEFT(A18,2)</f>
        <v>CR</v>
      </c>
      <c r="C18" s="5" t="str">
        <f>VLOOKUP(B18,C$58:D$63,2)</f>
        <v>Chrysler</v>
      </c>
      <c r="D18" s="5" t="str">
        <f>MID(A18,5,3)</f>
        <v>PTC</v>
      </c>
      <c r="E18" s="5" t="str">
        <f>VLOOKUP(D18,$F$58:$G$68,2)</f>
        <v>PT Cruiser</v>
      </c>
      <c r="F18" s="5" t="str">
        <f>MID(A18, 3, 2)</f>
        <v>11</v>
      </c>
      <c r="G18" s="5">
        <f t="shared" si="0"/>
        <v>15</v>
      </c>
      <c r="H18" s="9">
        <v>27394.2</v>
      </c>
      <c r="I18" s="5">
        <f>IF(G18=0,0, H18/G18)</f>
        <v>1826.28</v>
      </c>
      <c r="J18" s="9" t="s">
        <v>16</v>
      </c>
      <c r="K18" s="9" t="s">
        <v>23</v>
      </c>
      <c r="L18" s="9">
        <v>75000</v>
      </c>
      <c r="M18" s="5" t="str">
        <f>IF(H18&lt;=L18, "Yes", "Not Covered")</f>
        <v>Yes</v>
      </c>
      <c r="N18" s="10" t="s">
        <v>18</v>
      </c>
      <c r="O18" s="5" t="str">
        <f>CONCATENATE(B18,F18,D18,UPPER(LEFT(J18,3)),RIGHT(A18,3))</f>
        <v>CR11PTCBLA044</v>
      </c>
    </row>
    <row r="19" spans="1:15">
      <c r="A19" s="4" t="s">
        <v>50</v>
      </c>
      <c r="B19" s="5" t="str">
        <f>LEFT(A19,2)</f>
        <v>HO</v>
      </c>
      <c r="C19" s="5" t="str">
        <f>VLOOKUP(B19,C$58:D$63,2)</f>
        <v>Honda</v>
      </c>
      <c r="D19" s="5" t="str">
        <f>MID(A19,5,3)</f>
        <v>CIV</v>
      </c>
      <c r="E19" s="5" t="str">
        <f>VLOOKUP(D19,$F$58:$G$68,2)</f>
        <v>Civic</v>
      </c>
      <c r="F19" s="5" t="str">
        <f>MID(A19, 3, 2)</f>
        <v>10</v>
      </c>
      <c r="G19" s="5">
        <f t="shared" si="0"/>
        <v>16</v>
      </c>
      <c r="H19" s="6">
        <v>33477.199999999997</v>
      </c>
      <c r="I19" s="5">
        <f>IF(G19=0,0, H19/G19)</f>
        <v>2092.3249999999998</v>
      </c>
      <c r="J19" s="6" t="s">
        <v>16</v>
      </c>
      <c r="K19" s="6" t="s">
        <v>51</v>
      </c>
      <c r="L19" s="6">
        <v>75000</v>
      </c>
      <c r="M19" s="5" t="str">
        <f>IF(H19&lt;=L19, "Yes", "Not Covered")</f>
        <v>Yes</v>
      </c>
      <c r="N19" s="7" t="s">
        <v>18</v>
      </c>
      <c r="O19" s="5" t="str">
        <f>CONCATENATE(B19,F19,D19,UPPER(LEFT(J19,3)),RIGHT(A19,3))</f>
        <v>HO10CIVBLA033</v>
      </c>
    </row>
    <row r="20" spans="1:15">
      <c r="A20" s="15" t="s">
        <v>52</v>
      </c>
      <c r="B20" s="5" t="str">
        <f>LEFT(A20,2)</f>
        <v>GM</v>
      </c>
      <c r="C20" s="5" t="str">
        <f>VLOOKUP(B20,C$58:D$63,2)</f>
        <v>General Motors</v>
      </c>
      <c r="D20" s="5" t="str">
        <f>MID(A20,5,3)</f>
        <v>SLV</v>
      </c>
      <c r="E20" s="5" t="str">
        <f>VLOOKUP(D20,$F$58:$G$68,2)</f>
        <v>Silverado</v>
      </c>
      <c r="F20" s="5" t="str">
        <f>MID(A20, 3, 2)</f>
        <v>10</v>
      </c>
      <c r="G20" s="5">
        <f t="shared" si="0"/>
        <v>16</v>
      </c>
      <c r="H20" s="17">
        <v>31144.400000000001</v>
      </c>
      <c r="I20" s="5">
        <f>IF(G20=0,0, H20/G20)</f>
        <v>1946.5250000000001</v>
      </c>
      <c r="J20" s="17" t="s">
        <v>16</v>
      </c>
      <c r="K20" s="17" t="s">
        <v>35</v>
      </c>
      <c r="L20" s="17">
        <v>100000</v>
      </c>
      <c r="M20" s="5" t="str">
        <f>IF(H20&lt;=L20, "Yes", "Not Covered")</f>
        <v>Yes</v>
      </c>
      <c r="N20" s="19" t="s">
        <v>18</v>
      </c>
      <c r="O20" s="5" t="str">
        <f>CONCATENATE(B20,F20,D20,UPPER(LEFT(J20,3)),RIGHT(A20,3))</f>
        <v>GM10SLVBLA017</v>
      </c>
    </row>
    <row r="21" spans="1:15">
      <c r="A21" s="4" t="s">
        <v>53</v>
      </c>
      <c r="B21" s="5" t="str">
        <f>LEFT(A21,2)</f>
        <v>FD</v>
      </c>
      <c r="C21" s="5" t="str">
        <f>VLOOKUP(B21,C$58:D$63,2)</f>
        <v>Ford</v>
      </c>
      <c r="D21" s="5" t="str">
        <f>MID(A21,5,3)</f>
        <v>MTG</v>
      </c>
      <c r="E21" s="5" t="str">
        <f>VLOOKUP(D21,$F$58:$G$68,2)</f>
        <v>Mustang</v>
      </c>
      <c r="F21" s="5" t="str">
        <f>MID(A21, 3, 2)</f>
        <v>08</v>
      </c>
      <c r="G21" s="5">
        <f t="shared" si="0"/>
        <v>18</v>
      </c>
      <c r="H21" s="6">
        <v>44946.5</v>
      </c>
      <c r="I21" s="5">
        <f>IF(G21=0,0, H21/G21)</f>
        <v>2497.0277777777778</v>
      </c>
      <c r="J21" s="6" t="s">
        <v>54</v>
      </c>
      <c r="K21" s="6" t="s">
        <v>40</v>
      </c>
      <c r="L21" s="6">
        <v>50000</v>
      </c>
      <c r="M21" s="5" t="str">
        <f>IF(H21&lt;=L21, "Yes", "Not Covered")</f>
        <v>Yes</v>
      </c>
      <c r="N21" s="7" t="s">
        <v>18</v>
      </c>
      <c r="O21" s="5" t="str">
        <f>CONCATENATE(B21,F21,D21,UPPER(LEFT(J21,3)),RIGHT(A21,3))</f>
        <v>FD08MTGGRE003</v>
      </c>
    </row>
    <row r="22" spans="1:15">
      <c r="A22" s="8" t="s">
        <v>55</v>
      </c>
      <c r="B22" s="5" t="str">
        <f>LEFT(A22,2)</f>
        <v>HO</v>
      </c>
      <c r="C22" s="5" t="str">
        <f>VLOOKUP(B22,C$58:D$63,2)</f>
        <v>Honda</v>
      </c>
      <c r="D22" s="5" t="str">
        <f>MID(A22,5,3)</f>
        <v>ODY</v>
      </c>
      <c r="E22" s="5" t="str">
        <f>VLOOKUP(D22,$F$58:$G$68,2)</f>
        <v>Odyssey</v>
      </c>
      <c r="F22" s="5" t="str">
        <f>MID(A22, 3, 2)</f>
        <v>07</v>
      </c>
      <c r="G22" s="5">
        <f t="shared" si="0"/>
        <v>19</v>
      </c>
      <c r="H22" s="9">
        <v>50854.1</v>
      </c>
      <c r="I22" s="5">
        <f>IF(G22=0,0, H22/G22)</f>
        <v>2676.5315789473684</v>
      </c>
      <c r="J22" s="9" t="s">
        <v>16</v>
      </c>
      <c r="K22" s="9" t="s">
        <v>51</v>
      </c>
      <c r="L22" s="9">
        <v>100000</v>
      </c>
      <c r="M22" s="5" t="str">
        <f>IF(H22&lt;=L22, "Yes", "Not Covered")</f>
        <v>Yes</v>
      </c>
      <c r="N22" s="10" t="s">
        <v>18</v>
      </c>
      <c r="O22" s="5" t="str">
        <f>CONCATENATE(B22,F22,D22,UPPER(LEFT(J22,3)),RIGHT(A22,3))</f>
        <v>HO07ODYBLA038</v>
      </c>
    </row>
    <row r="23" spans="1:15">
      <c r="A23" s="4" t="s">
        <v>56</v>
      </c>
      <c r="B23" s="5" t="str">
        <f>LEFT(A23,2)</f>
        <v>CR</v>
      </c>
      <c r="C23" s="5" t="str">
        <f>VLOOKUP(B23,C$58:D$63,2)</f>
        <v>Chrysler</v>
      </c>
      <c r="D23" s="5" t="str">
        <f>MID(A23,5,3)</f>
        <v>CAR</v>
      </c>
      <c r="E23" s="5" t="str">
        <f>VLOOKUP(D23,$F$58:$G$68,2)</f>
        <v>Caravan</v>
      </c>
      <c r="F23" s="5" t="str">
        <f>MID(A23, 3, 2)</f>
        <v>04</v>
      </c>
      <c r="G23" s="5">
        <f t="shared" si="0"/>
        <v>22</v>
      </c>
      <c r="H23" s="6">
        <v>72527.199999999997</v>
      </c>
      <c r="I23" s="5">
        <f>IF(G23=0,0, H23/G23)</f>
        <v>3296.6909090909089</v>
      </c>
      <c r="J23" s="6" t="s">
        <v>20</v>
      </c>
      <c r="K23" s="6" t="s">
        <v>42</v>
      </c>
      <c r="L23" s="6">
        <v>75000</v>
      </c>
      <c r="M23" s="5" t="str">
        <f>IF(H23&lt;=L23, "Yes", "Not Covered")</f>
        <v>Yes</v>
      </c>
      <c r="N23" s="7" t="s">
        <v>18</v>
      </c>
      <c r="O23" s="5" t="str">
        <f>CONCATENATE(B23,F23,D23,UPPER(LEFT(J23,3)),RIGHT(A23,3))</f>
        <v>CR04CARWHI047</v>
      </c>
    </row>
    <row r="24" spans="1:15">
      <c r="A24" s="15" t="s">
        <v>57</v>
      </c>
      <c r="B24" s="5" t="str">
        <f>LEFT(A24,2)</f>
        <v>HO</v>
      </c>
      <c r="C24" s="5" t="str">
        <f>VLOOKUP(B24,C$58:D$63,2)</f>
        <v>Honda</v>
      </c>
      <c r="D24" s="5" t="str">
        <f>MID(A24,5,3)</f>
        <v>ODY</v>
      </c>
      <c r="E24" s="5" t="str">
        <f>VLOOKUP(D24,$F$58:$G$68,2)</f>
        <v>Odyssey</v>
      </c>
      <c r="F24" s="5" t="str">
        <f>MID(A24, 3, 2)</f>
        <v>08</v>
      </c>
      <c r="G24" s="5">
        <f t="shared" si="0"/>
        <v>18</v>
      </c>
      <c r="H24" s="17">
        <v>42504.6</v>
      </c>
      <c r="I24" s="5">
        <f>IF(G24=0,0, H24/G24)</f>
        <v>2361.3666666666668</v>
      </c>
      <c r="J24" s="17" t="s">
        <v>20</v>
      </c>
      <c r="K24" s="17" t="s">
        <v>33</v>
      </c>
      <c r="L24" s="17">
        <v>100000</v>
      </c>
      <c r="M24" s="5" t="str">
        <f>IF(H24&lt;=L24, "Yes", "Not Covered")</f>
        <v>Yes</v>
      </c>
      <c r="N24" s="19" t="s">
        <v>18</v>
      </c>
      <c r="O24" s="5" t="str">
        <f>CONCATENATE(B24,F24,D24,UPPER(LEFT(J24,3)),RIGHT(A24,3))</f>
        <v>HO08ODYWHI039</v>
      </c>
    </row>
    <row r="25" spans="1:15">
      <c r="A25" s="14" t="s">
        <v>58</v>
      </c>
      <c r="B25" s="5" t="str">
        <f>LEFT(A25,2)</f>
        <v>FD</v>
      </c>
      <c r="C25" s="5" t="str">
        <f>VLOOKUP(B25,C$58:D$63,2)</f>
        <v>Ford</v>
      </c>
      <c r="D25" s="5" t="str">
        <f>MID(A25,5,3)</f>
        <v>FCS</v>
      </c>
      <c r="E25" s="5" t="str">
        <f>VLOOKUP(D25,$F$58:$G$68,2)</f>
        <v>Focus</v>
      </c>
      <c r="F25" s="5" t="str">
        <f>MID(A25, 3, 2)</f>
        <v>09</v>
      </c>
      <c r="G25" s="5">
        <f t="shared" si="0"/>
        <v>17</v>
      </c>
      <c r="H25" s="16">
        <v>35137</v>
      </c>
      <c r="I25" s="5">
        <f>IF(G25=0,0, H25/G25)</f>
        <v>2066.8823529411766</v>
      </c>
      <c r="J25" s="16" t="s">
        <v>16</v>
      </c>
      <c r="K25" s="16" t="s">
        <v>48</v>
      </c>
      <c r="L25" s="16">
        <v>75000</v>
      </c>
      <c r="M25" s="5" t="str">
        <f>IF(H25&lt;=L25, "Yes", "Not Covered")</f>
        <v>Yes</v>
      </c>
      <c r="N25" s="18" t="s">
        <v>18</v>
      </c>
      <c r="O25" s="5" t="str">
        <f>CONCATENATE(B25,F25,D25,UPPER(LEFT(J25,3)),RIGHT(A25,3))</f>
        <v>FD09FCSBLA008</v>
      </c>
    </row>
    <row r="26" spans="1:15">
      <c r="A26" s="15" t="s">
        <v>59</v>
      </c>
      <c r="B26" s="5" t="str">
        <f>LEFT(A26,2)</f>
        <v>HO</v>
      </c>
      <c r="C26" s="5" t="str">
        <f>VLOOKUP(B26,C$58:D$63,2)</f>
        <v>Honda</v>
      </c>
      <c r="D26" s="5" t="str">
        <f>MID(A26,5,3)</f>
        <v>ODY</v>
      </c>
      <c r="E26" s="5" t="str">
        <f>VLOOKUP(D26,$F$58:$G$68,2)</f>
        <v>Odyssey</v>
      </c>
      <c r="F26" s="5" t="str">
        <f>MID(A26, 3, 2)</f>
        <v>05</v>
      </c>
      <c r="G26" s="5">
        <f t="shared" si="0"/>
        <v>21</v>
      </c>
      <c r="H26" s="17">
        <v>60389.5</v>
      </c>
      <c r="I26" s="5">
        <f>IF(G26=0,0, H26/G26)</f>
        <v>2875.6904761904761</v>
      </c>
      <c r="J26" s="17" t="s">
        <v>20</v>
      </c>
      <c r="K26" s="17" t="s">
        <v>48</v>
      </c>
      <c r="L26" s="17">
        <v>100000</v>
      </c>
      <c r="M26" s="5" t="str">
        <f>IF(H26&lt;=L26, "Yes", "Not Covered")</f>
        <v>Yes</v>
      </c>
      <c r="N26" s="19" t="s">
        <v>18</v>
      </c>
      <c r="O26" s="5" t="str">
        <f>CONCATENATE(B26,F26,D26,UPPER(LEFT(J26,3)),RIGHT(A26,3))</f>
        <v>HO05ODYWHI037</v>
      </c>
    </row>
    <row r="27" spans="1:15">
      <c r="A27" s="8" t="s">
        <v>60</v>
      </c>
      <c r="B27" s="5" t="str">
        <f>LEFT(A27,2)</f>
        <v>TY</v>
      </c>
      <c r="C27" s="5" t="str">
        <f>VLOOKUP(B27,C$58:D$63,2)</f>
        <v>Toyota</v>
      </c>
      <c r="D27" s="5" t="str">
        <f>MID(A27,5,3)</f>
        <v>COR</v>
      </c>
      <c r="E27" s="5" t="str">
        <f>VLOOKUP(D27,$F$58:$G$68,2)</f>
        <v>Corola</v>
      </c>
      <c r="F27" s="5" t="str">
        <f>MID(A27, 3, 2)</f>
        <v>03</v>
      </c>
      <c r="G27" s="5">
        <f t="shared" si="0"/>
        <v>23</v>
      </c>
      <c r="H27" s="9">
        <v>73444.399999999994</v>
      </c>
      <c r="I27" s="5">
        <f>IF(G27=0,0, H27/G27)</f>
        <v>3193.2347826086952</v>
      </c>
      <c r="J27" s="9" t="s">
        <v>16</v>
      </c>
      <c r="K27" s="9" t="s">
        <v>61</v>
      </c>
      <c r="L27" s="9">
        <v>100000</v>
      </c>
      <c r="M27" s="5" t="str">
        <f>IF(H27&lt;=L27, "Yes", "Not Covered")</f>
        <v>Yes</v>
      </c>
      <c r="N27" s="10" t="s">
        <v>18</v>
      </c>
      <c r="O27" s="5" t="str">
        <f>CONCATENATE(B27,F27,D27,UPPER(LEFT(J27,3)),RIGHT(A27,3))</f>
        <v>TY03CORBLA026</v>
      </c>
    </row>
    <row r="28" spans="1:15">
      <c r="A28" s="4" t="s">
        <v>62</v>
      </c>
      <c r="B28" s="5" t="str">
        <f>LEFT(A28,2)</f>
        <v>FD</v>
      </c>
      <c r="C28" s="5" t="str">
        <f>VLOOKUP(B28,C$58:D$63,2)</f>
        <v>Ford</v>
      </c>
      <c r="D28" s="5" t="str">
        <f>MID(A28,5,3)</f>
        <v>FCS</v>
      </c>
      <c r="E28" s="5" t="str">
        <f>VLOOKUP(D28,$F$58:$G$68,2)</f>
        <v>Focus</v>
      </c>
      <c r="F28" s="5" t="str">
        <f>MID(A28, 3, 2)</f>
        <v>06</v>
      </c>
      <c r="G28" s="5">
        <f t="shared" si="0"/>
        <v>20</v>
      </c>
      <c r="H28" s="6">
        <v>52229.5</v>
      </c>
      <c r="I28" s="5">
        <f>IF(G28=0,0, H28/G28)</f>
        <v>2611.4749999999999</v>
      </c>
      <c r="J28" s="6" t="s">
        <v>54</v>
      </c>
      <c r="K28" s="6" t="s">
        <v>40</v>
      </c>
      <c r="L28" s="6">
        <v>75000</v>
      </c>
      <c r="M28" s="5" t="str">
        <f>IF(H28&lt;=L28, "Yes", "Not Covered")</f>
        <v>Yes</v>
      </c>
      <c r="N28" s="7" t="s">
        <v>18</v>
      </c>
      <c r="O28" s="5" t="str">
        <f>CONCATENATE(B28,F28,D28,UPPER(LEFT(J28,3)),RIGHT(A28,3))</f>
        <v>FD06FCSGRE007</v>
      </c>
    </row>
    <row r="29" spans="1:15">
      <c r="A29" s="8" t="s">
        <v>63</v>
      </c>
      <c r="B29" s="5" t="str">
        <f>LEFT(A29,2)</f>
        <v>CR</v>
      </c>
      <c r="C29" s="5" t="str">
        <f>VLOOKUP(B29,C$58:D$63,2)</f>
        <v>Chrysler</v>
      </c>
      <c r="D29" s="5" t="str">
        <f>MID(A29,5,3)</f>
        <v>PTC</v>
      </c>
      <c r="E29" s="5" t="str">
        <f>VLOOKUP(D29,$F$58:$G$68,2)</f>
        <v>PT Cruiser</v>
      </c>
      <c r="F29" s="5" t="str">
        <f>MID(A29, 3, 2)</f>
        <v>04</v>
      </c>
      <c r="G29" s="5">
        <f t="shared" si="0"/>
        <v>22</v>
      </c>
      <c r="H29" s="9">
        <v>64542</v>
      </c>
      <c r="I29" s="5">
        <f>IF(G29=0,0, H29/G29)</f>
        <v>2933.7272727272725</v>
      </c>
      <c r="J29" s="9" t="s">
        <v>25</v>
      </c>
      <c r="K29" s="9" t="s">
        <v>17</v>
      </c>
      <c r="L29" s="9">
        <v>75000</v>
      </c>
      <c r="M29" s="5" t="str">
        <f>IF(H29&lt;=L29, "Yes", "Not Covered")</f>
        <v>Yes</v>
      </c>
      <c r="N29" s="10" t="s">
        <v>18</v>
      </c>
      <c r="O29" s="5" t="str">
        <f>CONCATENATE(B29,F29,D29,UPPER(LEFT(J29,3)),RIGHT(A29,3))</f>
        <v>CR04PTCBLU042</v>
      </c>
    </row>
    <row r="30" spans="1:15">
      <c r="A30" s="14" t="s">
        <v>64</v>
      </c>
      <c r="B30" s="5" t="str">
        <f>LEFT(A30,2)</f>
        <v>FD</v>
      </c>
      <c r="C30" s="5" t="str">
        <f>VLOOKUP(B30,C$58:D$63,2)</f>
        <v>Ford</v>
      </c>
      <c r="D30" s="5" t="str">
        <f>MID(A30,5,3)</f>
        <v>MTG</v>
      </c>
      <c r="E30" s="5" t="str">
        <f>VLOOKUP(D30,$F$58:$G$68,2)</f>
        <v>Mustang</v>
      </c>
      <c r="F30" s="5" t="str">
        <f>MID(A30, 3, 2)</f>
        <v>08</v>
      </c>
      <c r="G30" s="5">
        <f t="shared" si="0"/>
        <v>18</v>
      </c>
      <c r="H30" s="16">
        <v>37558.800000000003</v>
      </c>
      <c r="I30" s="5">
        <f>IF(G30=0,0, H30/G30)</f>
        <v>2086.6000000000004</v>
      </c>
      <c r="J30" s="16" t="s">
        <v>16</v>
      </c>
      <c r="K30" s="16" t="s">
        <v>65</v>
      </c>
      <c r="L30" s="16">
        <v>50000</v>
      </c>
      <c r="M30" s="5" t="str">
        <f>IF(H30&lt;=L30, "Yes", "Not Covered")</f>
        <v>Yes</v>
      </c>
      <c r="N30" s="18" t="s">
        <v>18</v>
      </c>
      <c r="O30" s="5" t="str">
        <f>CONCATENATE(B30,F30,D30,UPPER(LEFT(J30,3)),RIGHT(A30,3))</f>
        <v>FD08MTGBLA004</v>
      </c>
    </row>
    <row r="31" spans="1:15">
      <c r="A31" s="8" t="s">
        <v>66</v>
      </c>
      <c r="B31" s="5" t="str">
        <f>LEFT(A31,2)</f>
        <v>TY</v>
      </c>
      <c r="C31" s="5" t="str">
        <f>VLOOKUP(B31,C$58:D$63,2)</f>
        <v>Toyota</v>
      </c>
      <c r="D31" s="5" t="str">
        <f>MID(A31,5,3)</f>
        <v>CAM</v>
      </c>
      <c r="E31" s="5" t="str">
        <f>VLOOKUP(D31,$F$58:$G$68,2)</f>
        <v>Camry</v>
      </c>
      <c r="F31" s="5" t="str">
        <f>MID(A31, 3, 2)</f>
        <v>00</v>
      </c>
      <c r="G31" s="5">
        <f t="shared" si="0"/>
        <v>26</v>
      </c>
      <c r="H31" s="9">
        <v>85928</v>
      </c>
      <c r="I31" s="5">
        <f>IF(G31=0,0, H31/G31)</f>
        <v>3304.9230769230771</v>
      </c>
      <c r="J31" s="9" t="s">
        <v>54</v>
      </c>
      <c r="K31" s="9" t="s">
        <v>26</v>
      </c>
      <c r="L31" s="9">
        <v>100000</v>
      </c>
      <c r="M31" s="5" t="str">
        <f>IF(H31&lt;=L31, "Yes", "Not Covered")</f>
        <v>Yes</v>
      </c>
      <c r="N31" s="10" t="s">
        <v>18</v>
      </c>
      <c r="O31" s="5" t="str">
        <f>CONCATENATE(B31,F31,D31,UPPER(LEFT(J31,3)),RIGHT(A31,3))</f>
        <v>TY00CAMGRE022</v>
      </c>
    </row>
    <row r="32" spans="1:15">
      <c r="A32" s="4" t="s">
        <v>67</v>
      </c>
      <c r="B32" s="5" t="str">
        <f>LEFT(A32,2)</f>
        <v>FD</v>
      </c>
      <c r="C32" s="5" t="str">
        <f>VLOOKUP(B32,C$58:D$63,2)</f>
        <v>Ford</v>
      </c>
      <c r="D32" s="5" t="str">
        <f>MID(A32,5,3)</f>
        <v>MTG</v>
      </c>
      <c r="E32" s="5" t="str">
        <f>VLOOKUP(D32,$F$58:$G$68,2)</f>
        <v>Mustang</v>
      </c>
      <c r="F32" s="5" t="str">
        <f>MID(A32, 3, 2)</f>
        <v>08</v>
      </c>
      <c r="G32" s="5">
        <f t="shared" si="0"/>
        <v>18</v>
      </c>
      <c r="H32" s="6">
        <v>36438.5</v>
      </c>
      <c r="I32" s="5">
        <f>IF(G32=0,0, H32/G32)</f>
        <v>2024.3611111111111</v>
      </c>
      <c r="J32" s="6" t="s">
        <v>20</v>
      </c>
      <c r="K32" s="6" t="s">
        <v>17</v>
      </c>
      <c r="L32" s="6">
        <v>50000</v>
      </c>
      <c r="M32" s="5" t="str">
        <f>IF(H32&lt;=L32, "Yes", "Not Covered")</f>
        <v>Yes</v>
      </c>
      <c r="N32" s="7" t="s">
        <v>18</v>
      </c>
      <c r="O32" s="5" t="str">
        <f>CONCATENATE(B32,F32,D32,UPPER(LEFT(J32,3)),RIGHT(A32,3))</f>
        <v>FD08MTGWHI005</v>
      </c>
    </row>
    <row r="33" spans="1:15">
      <c r="A33" s="15" t="s">
        <v>68</v>
      </c>
      <c r="B33" s="5" t="str">
        <f>LEFT(A33,2)</f>
        <v>CR</v>
      </c>
      <c r="C33" s="5" t="str">
        <f>VLOOKUP(B33,C$58:D$63,2)</f>
        <v>Chrysler</v>
      </c>
      <c r="D33" s="5" t="str">
        <f>MID(A33,5,3)</f>
        <v>PTC</v>
      </c>
      <c r="E33" s="5" t="str">
        <f>VLOOKUP(D33,$F$58:$G$68,2)</f>
        <v>PT Cruiser</v>
      </c>
      <c r="F33" s="5" t="str">
        <f>MID(A33, 3, 2)</f>
        <v>07</v>
      </c>
      <c r="G33" s="5">
        <f t="shared" si="0"/>
        <v>19</v>
      </c>
      <c r="H33" s="17">
        <v>42074.2</v>
      </c>
      <c r="I33" s="5">
        <f>IF(G33=0,0, H33/G33)</f>
        <v>2214.4315789473681</v>
      </c>
      <c r="J33" s="17" t="s">
        <v>54</v>
      </c>
      <c r="K33" s="17" t="s">
        <v>61</v>
      </c>
      <c r="L33" s="17">
        <v>75000</v>
      </c>
      <c r="M33" s="5" t="str">
        <f>IF(H33&lt;=L33, "Yes", "Not Covered")</f>
        <v>Yes</v>
      </c>
      <c r="N33" s="19" t="s">
        <v>18</v>
      </c>
      <c r="O33" s="5" t="str">
        <f>CONCATENATE(B33,F33,D33,UPPER(LEFT(J33,3)),RIGHT(A33,3))</f>
        <v>CR07PTCGRE043</v>
      </c>
    </row>
    <row r="34" spans="1:15">
      <c r="A34" s="14" t="s">
        <v>69</v>
      </c>
      <c r="B34" s="5" t="str">
        <f>LEFT(A34,2)</f>
        <v>FD</v>
      </c>
      <c r="C34" s="5" t="str">
        <f>VLOOKUP(B34,C$58:D$63,2)</f>
        <v>Ford</v>
      </c>
      <c r="D34" s="5" t="str">
        <f>MID(A34,5,3)</f>
        <v>FCS</v>
      </c>
      <c r="E34" s="5" t="str">
        <f>VLOOKUP(D34,$F$58:$G$68,2)</f>
        <v>Focus</v>
      </c>
      <c r="F34" s="5" t="str">
        <f>MID(A34, 3, 2)</f>
        <v>06</v>
      </c>
      <c r="G34" s="5">
        <f t="shared" si="0"/>
        <v>20</v>
      </c>
      <c r="H34" s="16">
        <v>46311.4</v>
      </c>
      <c r="I34" s="5">
        <f>IF(G34=0,0, H34/G34)</f>
        <v>2315.5700000000002</v>
      </c>
      <c r="J34" s="16" t="s">
        <v>54</v>
      </c>
      <c r="K34" s="16" t="s">
        <v>26</v>
      </c>
      <c r="L34" s="16">
        <v>75000</v>
      </c>
      <c r="M34" s="5" t="str">
        <f>IF(H34&lt;=L34, "Yes", "Not Covered")</f>
        <v>Yes</v>
      </c>
      <c r="N34" s="18" t="s">
        <v>18</v>
      </c>
      <c r="O34" s="5" t="str">
        <f>CONCATENATE(B34,F34,D34,UPPER(LEFT(J34,3)),RIGHT(A34,3))</f>
        <v>FD06FCSGRE006</v>
      </c>
    </row>
    <row r="35" spans="1:15">
      <c r="A35" s="15" t="s">
        <v>70</v>
      </c>
      <c r="B35" s="5" t="str">
        <f>LEFT(A35,2)</f>
        <v>GM</v>
      </c>
      <c r="C35" s="5" t="str">
        <f>VLOOKUP(B35,C$58:D$63,2)</f>
        <v>General Motors</v>
      </c>
      <c r="D35" s="5" t="str">
        <f>MID(A35,5,3)</f>
        <v>SLV</v>
      </c>
      <c r="E35" s="5" t="str">
        <f>VLOOKUP(D35,$F$58:$G$68,2)</f>
        <v>Silverado</v>
      </c>
      <c r="F35" s="5" t="str">
        <f>MID(A35, 3, 2)</f>
        <v>00</v>
      </c>
      <c r="G35" s="5">
        <f t="shared" si="0"/>
        <v>26</v>
      </c>
      <c r="H35" s="17">
        <v>80685.8</v>
      </c>
      <c r="I35" s="5">
        <f>IF(G35=0,0, H35/G35)</f>
        <v>3103.3</v>
      </c>
      <c r="J35" s="17" t="s">
        <v>25</v>
      </c>
      <c r="K35" s="17" t="s">
        <v>23</v>
      </c>
      <c r="L35" s="17">
        <v>100000</v>
      </c>
      <c r="M35" s="5" t="str">
        <f>IF(H35&lt;=L35, "Yes", "Not Covered")</f>
        <v>Yes</v>
      </c>
      <c r="N35" s="19" t="s">
        <v>18</v>
      </c>
      <c r="O35" s="5" t="str">
        <f>CONCATENATE(B35,F35,D35,UPPER(LEFT(J35,3)),RIGHT(A35,3))</f>
        <v>GM00SLVBLU019</v>
      </c>
    </row>
    <row r="36" spans="1:15">
      <c r="A36" s="14" t="s">
        <v>71</v>
      </c>
      <c r="B36" s="5" t="str">
        <f>LEFT(A36,2)</f>
        <v>GM</v>
      </c>
      <c r="C36" s="5" t="str">
        <f>VLOOKUP(B36,C$58:D$63,2)</f>
        <v>General Motors</v>
      </c>
      <c r="D36" s="5" t="str">
        <f>MID(A36,5,3)</f>
        <v>CMR</v>
      </c>
      <c r="E36" s="5" t="str">
        <f>VLOOKUP(D36,$F$58:$G$68,2)</f>
        <v>Camero</v>
      </c>
      <c r="F36" s="5" t="str">
        <f>MID(A36, 3, 2)</f>
        <v>09</v>
      </c>
      <c r="G36" s="5">
        <f t="shared" si="0"/>
        <v>17</v>
      </c>
      <c r="H36" s="16">
        <v>28464.799999999999</v>
      </c>
      <c r="I36" s="5">
        <f>IF(G36=0,0, H36/G36)</f>
        <v>1674.3999999999999</v>
      </c>
      <c r="J36" s="16" t="s">
        <v>20</v>
      </c>
      <c r="K36" s="16" t="s">
        <v>29</v>
      </c>
      <c r="L36" s="16">
        <v>100000</v>
      </c>
      <c r="M36" s="5" t="str">
        <f>IF(H36&lt;=L36, "Yes", "Not Covered")</f>
        <v>Yes</v>
      </c>
      <c r="N36" s="18" t="s">
        <v>18</v>
      </c>
      <c r="O36" s="5" t="str">
        <f>CONCATENATE(B36,F36,D36,UPPER(LEFT(J36,3)),RIGHT(A36,3))</f>
        <v>GM09CMRWHI014</v>
      </c>
    </row>
    <row r="37" spans="1:15">
      <c r="A37" s="15" t="s">
        <v>72</v>
      </c>
      <c r="B37" s="5" t="str">
        <f>LEFT(A37,2)</f>
        <v>TY</v>
      </c>
      <c r="C37" s="5" t="str">
        <f>VLOOKUP(B37,C$58:D$63,2)</f>
        <v>Toyota</v>
      </c>
      <c r="D37" s="5" t="str">
        <f>MID(A37,5,3)</f>
        <v>CAM</v>
      </c>
      <c r="E37" s="5" t="str">
        <f>VLOOKUP(D37,$F$58:$G$68,2)</f>
        <v>Camry</v>
      </c>
      <c r="F37" s="5" t="str">
        <f>MID(A37, 3, 2)</f>
        <v>02</v>
      </c>
      <c r="G37" s="5">
        <f t="shared" si="0"/>
        <v>24</v>
      </c>
      <c r="H37" s="17">
        <v>67829.100000000006</v>
      </c>
      <c r="I37" s="5">
        <f>IF(G37=0,0, H37/G37)</f>
        <v>2826.2125000000001</v>
      </c>
      <c r="J37" s="17" t="s">
        <v>16</v>
      </c>
      <c r="K37" s="17" t="s">
        <v>17</v>
      </c>
      <c r="L37" s="17">
        <v>100000</v>
      </c>
      <c r="M37" s="5" t="str">
        <f>IF(H37&lt;=L37, "Yes", "Not Covered")</f>
        <v>Yes</v>
      </c>
      <c r="N37" s="19" t="s">
        <v>18</v>
      </c>
      <c r="O37" s="5" t="str">
        <f>CONCATENATE(B37,F37,D37,UPPER(LEFT(J37,3)),RIGHT(A37,3))</f>
        <v>TY02CAMBLA023</v>
      </c>
    </row>
    <row r="38" spans="1:15">
      <c r="A38" s="14" t="s">
        <v>73</v>
      </c>
      <c r="B38" s="5" t="str">
        <f>LEFT(A38,2)</f>
        <v>HO</v>
      </c>
      <c r="C38" s="5" t="str">
        <f>VLOOKUP(B38,C$58:D$63,2)</f>
        <v>Honda</v>
      </c>
      <c r="D38" s="5" t="str">
        <f>MID(A38,5,3)</f>
        <v>CIV</v>
      </c>
      <c r="E38" s="5" t="str">
        <f>VLOOKUP(D38,$F$58:$G$68,2)</f>
        <v>Civic</v>
      </c>
      <c r="F38" s="5" t="str">
        <f>MID(A38, 3, 2)</f>
        <v>10</v>
      </c>
      <c r="G38" s="5">
        <f t="shared" si="0"/>
        <v>16</v>
      </c>
      <c r="H38" s="16">
        <v>22573</v>
      </c>
      <c r="I38" s="5">
        <f>IF(G38=0,0, H38/G38)</f>
        <v>1410.8125</v>
      </c>
      <c r="J38" s="16" t="s">
        <v>25</v>
      </c>
      <c r="K38" s="16" t="s">
        <v>44</v>
      </c>
      <c r="L38" s="16">
        <v>75000</v>
      </c>
      <c r="M38" s="5" t="str">
        <f>IF(H38&lt;=L38, "Yes", "Not Covered")</f>
        <v>Yes</v>
      </c>
      <c r="N38" s="18" t="s">
        <v>18</v>
      </c>
      <c r="O38" s="5" t="str">
        <f>CONCATENATE(B38,F38,D38,UPPER(LEFT(J38,3)),RIGHT(A38,3))</f>
        <v>HO10CIVBLU032</v>
      </c>
    </row>
    <row r="39" spans="1:15">
      <c r="A39" s="8" t="s">
        <v>74</v>
      </c>
      <c r="B39" s="5" t="str">
        <f>LEFT(A39,2)</f>
        <v>FD</v>
      </c>
      <c r="C39" s="5" t="str">
        <f>VLOOKUP(B39,C$58:D$63,2)</f>
        <v>Ford</v>
      </c>
      <c r="D39" s="5" t="str">
        <f>MID(A39,5,3)</f>
        <v>MTG</v>
      </c>
      <c r="E39" s="5" t="str">
        <f>VLOOKUP(D39,$F$58:$G$68,2)</f>
        <v>Mustang</v>
      </c>
      <c r="F39" s="5" t="str">
        <f>MID(A39, 3, 2)</f>
        <v>06</v>
      </c>
      <c r="G39" s="5">
        <f t="shared" si="0"/>
        <v>20</v>
      </c>
      <c r="H39" s="9">
        <v>44974.8</v>
      </c>
      <c r="I39" s="5">
        <f>IF(G39=0,0, H39/G39)</f>
        <v>2248.7400000000002</v>
      </c>
      <c r="J39" s="9" t="s">
        <v>20</v>
      </c>
      <c r="K39" s="9" t="s">
        <v>37</v>
      </c>
      <c r="L39" s="9">
        <v>50000</v>
      </c>
      <c r="M39" s="5" t="str">
        <f>IF(H39&lt;=L39, "Yes", "Not Covered")</f>
        <v>Yes</v>
      </c>
      <c r="N39" s="10" t="s">
        <v>18</v>
      </c>
      <c r="O39" s="5" t="str">
        <f>CONCATENATE(B39,F39,D39,UPPER(LEFT(J39,3)),RIGHT(A39,3))</f>
        <v>FD06MTGWHI002</v>
      </c>
    </row>
    <row r="40" spans="1:15">
      <c r="A40" s="14" t="s">
        <v>75</v>
      </c>
      <c r="B40" s="5" t="str">
        <f>LEFT(A40,2)</f>
        <v>CR</v>
      </c>
      <c r="C40" s="5" t="str">
        <f>VLOOKUP(B40,C$58:D$63,2)</f>
        <v>Chrysler</v>
      </c>
      <c r="D40" s="5" t="str">
        <f>MID(A40,5,3)</f>
        <v>CAR</v>
      </c>
      <c r="E40" s="5" t="str">
        <f>VLOOKUP(D40,$F$58:$G$68,2)</f>
        <v>Caravan</v>
      </c>
      <c r="F40" s="5" t="str">
        <f>MID(A40, 3, 2)</f>
        <v>00</v>
      </c>
      <c r="G40" s="5">
        <f t="shared" si="0"/>
        <v>26</v>
      </c>
      <c r="H40" s="16">
        <v>77243.100000000006</v>
      </c>
      <c r="I40" s="5">
        <f>IF(G40=0,0, H40/G40)</f>
        <v>2970.8884615384618</v>
      </c>
      <c r="J40" s="16" t="s">
        <v>16</v>
      </c>
      <c r="K40" s="16" t="s">
        <v>65</v>
      </c>
      <c r="L40" s="16">
        <v>75000</v>
      </c>
      <c r="M40" s="5" t="str">
        <f>IF(H40&lt;=L40, "Yes", "Not Covered")</f>
        <v>Not Covered</v>
      </c>
      <c r="N40" s="18" t="s">
        <v>18</v>
      </c>
      <c r="O40" s="5" t="str">
        <f>CONCATENATE(B40,F40,D40,UPPER(LEFT(J40,3)),RIGHT(A40,3))</f>
        <v>CR00CARBLA046</v>
      </c>
    </row>
    <row r="41" spans="1:15">
      <c r="A41" s="15" t="s">
        <v>76</v>
      </c>
      <c r="B41" s="5" t="str">
        <f>LEFT(A41,2)</f>
        <v>HO</v>
      </c>
      <c r="C41" s="5" t="str">
        <f>VLOOKUP(B41,C$58:D$63,2)</f>
        <v>Honda</v>
      </c>
      <c r="D41" s="5" t="str">
        <f>MID(A41,5,3)</f>
        <v>CIV</v>
      </c>
      <c r="E41" s="5" t="str">
        <f>VLOOKUP(D41,$F$58:$G$68,2)</f>
        <v>Civic</v>
      </c>
      <c r="F41" s="5" t="str">
        <f>MID(A41, 3, 2)</f>
        <v>01</v>
      </c>
      <c r="G41" s="5">
        <f t="shared" si="0"/>
        <v>25</v>
      </c>
      <c r="H41" s="17">
        <v>69891.899999999994</v>
      </c>
      <c r="I41" s="5">
        <f>IF(G41=0,0, H41/G41)</f>
        <v>2795.6759999999999</v>
      </c>
      <c r="J41" s="17" t="s">
        <v>25</v>
      </c>
      <c r="K41" s="17" t="s">
        <v>65</v>
      </c>
      <c r="L41" s="17">
        <v>75000</v>
      </c>
      <c r="M41" s="5" t="str">
        <f>IF(H41&lt;=L41, "Yes", "Not Covered")</f>
        <v>Yes</v>
      </c>
      <c r="N41" s="19" t="s">
        <v>18</v>
      </c>
      <c r="O41" s="5" t="str">
        <f>CONCATENATE(B41,F41,D41,UPPER(LEFT(J41,3)),RIGHT(A41,3))</f>
        <v>HO01CIVBLU031</v>
      </c>
    </row>
    <row r="42" spans="1:15">
      <c r="A42" s="4" t="s">
        <v>77</v>
      </c>
      <c r="B42" s="5" t="str">
        <f>LEFT(A42,2)</f>
        <v>TY</v>
      </c>
      <c r="C42" s="5" t="str">
        <f>VLOOKUP(B42,C$58:D$63,2)</f>
        <v>Toyota</v>
      </c>
      <c r="D42" s="5" t="str">
        <f>MID(A42,5,3)</f>
        <v>COR</v>
      </c>
      <c r="E42" s="5" t="str">
        <f>VLOOKUP(D42,$F$58:$G$68,2)</f>
        <v>Corola</v>
      </c>
      <c r="F42" s="5" t="str">
        <f>MID(A42, 3, 2)</f>
        <v>02</v>
      </c>
      <c r="G42" s="5">
        <f t="shared" si="0"/>
        <v>24</v>
      </c>
      <c r="H42" s="6">
        <v>64467.4</v>
      </c>
      <c r="I42" s="5">
        <f>IF(G42=0,0, H42/G42)</f>
        <v>2686.1416666666669</v>
      </c>
      <c r="J42" s="6" t="s">
        <v>78</v>
      </c>
      <c r="K42" s="6" t="s">
        <v>61</v>
      </c>
      <c r="L42" s="6">
        <v>100000</v>
      </c>
      <c r="M42" s="5" t="str">
        <f>IF(H42&lt;=L42, "Yes", "Not Covered")</f>
        <v>Yes</v>
      </c>
      <c r="N42" s="7" t="s">
        <v>18</v>
      </c>
      <c r="O42" s="5" t="str">
        <f>CONCATENATE(B42,F42,D42,UPPER(LEFT(J42,3)),RIGHT(A42,3))</f>
        <v>TY02CORRED025</v>
      </c>
    </row>
    <row r="43" spans="1:15">
      <c r="A43" s="8" t="s">
        <v>79</v>
      </c>
      <c r="B43" s="5" t="str">
        <f>LEFT(A43,2)</f>
        <v>HO</v>
      </c>
      <c r="C43" s="5" t="str">
        <f>VLOOKUP(B43,C$58:D$63,2)</f>
        <v>Honda</v>
      </c>
      <c r="D43" s="5" t="str">
        <f>MID(A43,5,3)</f>
        <v>0OD</v>
      </c>
      <c r="E43" s="5" t="e">
        <f>VLOOKUP(D43,$F$58:$G$68,2)</f>
        <v>#N/A</v>
      </c>
      <c r="F43" s="5" t="str">
        <f>MID(A43, 3, 2)</f>
        <v>01</v>
      </c>
      <c r="G43" s="5">
        <f t="shared" si="0"/>
        <v>25</v>
      </c>
      <c r="H43" s="9">
        <v>68658.899999999994</v>
      </c>
      <c r="I43" s="5">
        <f>IF(G43=0,0, H43/G43)</f>
        <v>2746.3559999999998</v>
      </c>
      <c r="J43" s="9" t="s">
        <v>16</v>
      </c>
      <c r="K43" s="9" t="s">
        <v>17</v>
      </c>
      <c r="L43" s="9">
        <v>100000</v>
      </c>
      <c r="M43" s="5" t="str">
        <f>IF(H43&lt;=L43, "Yes", "Not Covered")</f>
        <v>Yes</v>
      </c>
      <c r="N43" s="10" t="s">
        <v>18</v>
      </c>
      <c r="O43" s="5" t="str">
        <f>CONCATENATE(B43,F43,D43,UPPER(LEFT(J43,3)),RIGHT(A43,3))</f>
        <v>HO010ODBLA040</v>
      </c>
    </row>
    <row r="44" spans="1:15">
      <c r="A44" s="14" t="s">
        <v>80</v>
      </c>
      <c r="B44" s="5" t="str">
        <f>LEFT(A44,2)</f>
        <v>CR</v>
      </c>
      <c r="C44" s="5" t="str">
        <f>VLOOKUP(B44,C$58:D$63,2)</f>
        <v>Chrysler</v>
      </c>
      <c r="D44" s="5" t="str">
        <f>MID(A44,5,3)</f>
        <v>CAR</v>
      </c>
      <c r="E44" s="5" t="str">
        <f>VLOOKUP(D44,$F$58:$G$68,2)</f>
        <v>Caravan</v>
      </c>
      <c r="F44" s="5" t="str">
        <f>MID(A44, 3, 2)</f>
        <v>04</v>
      </c>
      <c r="G44" s="5">
        <f t="shared" si="0"/>
        <v>22</v>
      </c>
      <c r="H44" s="16">
        <v>52699.4</v>
      </c>
      <c r="I44" s="5">
        <f>IF(G44=0,0, H44/G44)</f>
        <v>2395.4272727272728</v>
      </c>
      <c r="J44" s="16" t="s">
        <v>78</v>
      </c>
      <c r="K44" s="16" t="s">
        <v>42</v>
      </c>
      <c r="L44" s="16">
        <v>75000</v>
      </c>
      <c r="M44" s="5" t="str">
        <f>IF(H44&lt;=L44, "Yes", "Not Covered")</f>
        <v>Yes</v>
      </c>
      <c r="N44" s="18" t="s">
        <v>18</v>
      </c>
      <c r="O44" s="5" t="str">
        <f>CONCATENATE(B44,F44,D44,UPPER(LEFT(J44,3)),RIGHT(A44,3))</f>
        <v>CR04CARRED048</v>
      </c>
    </row>
    <row r="45" spans="1:15">
      <c r="A45" s="15" t="s">
        <v>81</v>
      </c>
      <c r="B45" s="5" t="str">
        <f>LEFT(A45,2)</f>
        <v>FD</v>
      </c>
      <c r="C45" s="5" t="str">
        <f>VLOOKUP(B45,C$58:D$63,2)</f>
        <v>Ford</v>
      </c>
      <c r="D45" s="5" t="str">
        <f>MID(A45,5,3)</f>
        <v>MTG</v>
      </c>
      <c r="E45" s="5" t="str">
        <f>VLOOKUP(D45,$F$58:$G$68,2)</f>
        <v>Mustang</v>
      </c>
      <c r="F45" s="5" t="str">
        <f>MID(A45, 3, 2)</f>
        <v>06</v>
      </c>
      <c r="G45" s="5">
        <f t="shared" si="0"/>
        <v>20</v>
      </c>
      <c r="H45" s="17">
        <v>40326.800000000003</v>
      </c>
      <c r="I45" s="5">
        <f>IF(G45=0,0, H45/G45)</f>
        <v>2016.3400000000001</v>
      </c>
      <c r="J45" s="17" t="s">
        <v>16</v>
      </c>
      <c r="K45" s="17" t="s">
        <v>17</v>
      </c>
      <c r="L45" s="17">
        <v>50000</v>
      </c>
      <c r="M45" s="5" t="str">
        <f>IF(H45&lt;=L45, "Yes", "Not Covered")</f>
        <v>Yes</v>
      </c>
      <c r="N45" s="19" t="s">
        <v>18</v>
      </c>
      <c r="O45" s="5" t="str">
        <f>CONCATENATE(B45,F45,D45,UPPER(LEFT(J45,3)),RIGHT(A45,3))</f>
        <v>FD06MTGBLA001</v>
      </c>
    </row>
    <row r="46" spans="1:15">
      <c r="A46" s="14" t="s">
        <v>82</v>
      </c>
      <c r="B46" s="5" t="str">
        <f>LEFT(A46,2)</f>
        <v>TY</v>
      </c>
      <c r="C46" s="5" t="str">
        <f>VLOOKUP(B46,C$58:D$63,2)</f>
        <v>Toyota</v>
      </c>
      <c r="D46" s="5" t="str">
        <f>MID(A46,5,3)</f>
        <v>CAM</v>
      </c>
      <c r="E46" s="5" t="str">
        <f>VLOOKUP(D46,$F$58:$G$68,2)</f>
        <v>Camry</v>
      </c>
      <c r="F46" s="5" t="str">
        <f>MID(A46, 3, 2)</f>
        <v>96</v>
      </c>
      <c r="G46" s="5">
        <f t="shared" si="0"/>
        <v>30</v>
      </c>
      <c r="H46" s="16">
        <v>114660.6</v>
      </c>
      <c r="I46" s="5">
        <f>IF(G46=0,0, H46/G46)</f>
        <v>3822.02</v>
      </c>
      <c r="J46" s="16" t="s">
        <v>54</v>
      </c>
      <c r="K46" s="16" t="s">
        <v>31</v>
      </c>
      <c r="L46" s="16">
        <v>100000</v>
      </c>
      <c r="M46" s="5" t="str">
        <f>IF(H46&lt;=L46, "Yes", "Not Covered")</f>
        <v>Not Covered</v>
      </c>
      <c r="N46" s="18" t="s">
        <v>18</v>
      </c>
      <c r="O46" s="5" t="str">
        <f>CONCATENATE(B46,F46,D46,UPPER(LEFT(J46,3)),RIGHT(A46,3))</f>
        <v>TY96CAMGRE020</v>
      </c>
    </row>
    <row r="47" spans="1:15">
      <c r="A47" s="15" t="s">
        <v>83</v>
      </c>
      <c r="B47" s="5" t="str">
        <f>LEFT(A47,2)</f>
        <v>TY</v>
      </c>
      <c r="C47" s="5" t="str">
        <f>VLOOKUP(B47,C$58:D$63,2)</f>
        <v>Toyota</v>
      </c>
      <c r="D47" s="5" t="str">
        <f>MID(A47,5,3)</f>
        <v>CAM</v>
      </c>
      <c r="E47" s="5" t="str">
        <f>VLOOKUP(D47,$F$58:$G$68,2)</f>
        <v>Camry</v>
      </c>
      <c r="F47" s="5" t="str">
        <f>MID(A47, 3, 2)</f>
        <v>98</v>
      </c>
      <c r="G47" s="5">
        <f t="shared" si="0"/>
        <v>28</v>
      </c>
      <c r="H47" s="17">
        <v>93382.6</v>
      </c>
      <c r="I47" s="5">
        <f>IF(G47=0,0, H47/G47)</f>
        <v>3335.0928571428572</v>
      </c>
      <c r="J47" s="17" t="s">
        <v>16</v>
      </c>
      <c r="K47" s="17" t="s">
        <v>51</v>
      </c>
      <c r="L47" s="17">
        <v>100000</v>
      </c>
      <c r="M47" s="5" t="str">
        <f>IF(H47&lt;=L47, "Yes", "Not Covered")</f>
        <v>Yes</v>
      </c>
      <c r="N47" s="19" t="s">
        <v>18</v>
      </c>
      <c r="O47" s="5" t="str">
        <f>CONCATENATE(B47,F47,D47,UPPER(LEFT(J47,3)),RIGHT(A47,3))</f>
        <v>TY98CAMBLA021</v>
      </c>
    </row>
    <row r="48" spans="1:15">
      <c r="A48" s="14" t="s">
        <v>84</v>
      </c>
      <c r="B48" s="5" t="str">
        <f>LEFT(A48,2)</f>
        <v>HO</v>
      </c>
      <c r="C48" s="5" t="str">
        <f>VLOOKUP(B48,C$58:D$63,2)</f>
        <v>Honda</v>
      </c>
      <c r="D48" s="5" t="str">
        <f>MID(A48,5,3)</f>
        <v>CIV</v>
      </c>
      <c r="E48" s="5" t="str">
        <f>VLOOKUP(D48,$F$58:$G$68,2)</f>
        <v>Civic</v>
      </c>
      <c r="F48" s="5" t="str">
        <f>MID(A48, 3, 2)</f>
        <v>99</v>
      </c>
      <c r="G48" s="5">
        <f t="shared" si="0"/>
        <v>27</v>
      </c>
      <c r="H48" s="16">
        <v>82374</v>
      </c>
      <c r="I48" s="5">
        <f>IF(G48=0,0, H48/G48)</f>
        <v>3050.8888888888887</v>
      </c>
      <c r="J48" s="16" t="s">
        <v>20</v>
      </c>
      <c r="K48" s="16" t="s">
        <v>33</v>
      </c>
      <c r="L48" s="16">
        <v>75000</v>
      </c>
      <c r="M48" s="5" t="str">
        <f>IF(H48&lt;=L48, "Yes", "Not Covered")</f>
        <v>Not Covered</v>
      </c>
      <c r="N48" s="18" t="s">
        <v>18</v>
      </c>
      <c r="O48" s="5" t="str">
        <f>CONCATENATE(B48,F48,D48,UPPER(LEFT(J48,3)),RIGHT(A48,3))</f>
        <v>HO99CIVWHI030</v>
      </c>
    </row>
    <row r="49" spans="1:15">
      <c r="A49" s="8" t="s">
        <v>85</v>
      </c>
      <c r="B49" s="5" t="str">
        <f>LEFT(A49,2)</f>
        <v>GM</v>
      </c>
      <c r="C49" s="5" t="str">
        <f>VLOOKUP(B49,C$58:D$63,2)</f>
        <v>General Motors</v>
      </c>
      <c r="D49" s="5" t="str">
        <f>MID(A49,5,3)</f>
        <v>SLV</v>
      </c>
      <c r="E49" s="5" t="str">
        <f>VLOOKUP(D49,$F$58:$G$68,2)</f>
        <v>Silverado</v>
      </c>
      <c r="F49" s="5" t="str">
        <f>MID(A49, 3, 2)</f>
        <v>98</v>
      </c>
      <c r="G49" s="5">
        <f t="shared" si="0"/>
        <v>28</v>
      </c>
      <c r="H49" s="9">
        <v>83162.7</v>
      </c>
      <c r="I49" s="5">
        <f>IF(G49=0,0, H49/G49)</f>
        <v>2970.0964285714285</v>
      </c>
      <c r="J49" s="9" t="s">
        <v>16</v>
      </c>
      <c r="K49" s="9" t="s">
        <v>29</v>
      </c>
      <c r="L49" s="9">
        <v>100000</v>
      </c>
      <c r="M49" s="5" t="str">
        <f>IF(H49&lt;=L49, "Yes", "Not Covered")</f>
        <v>Yes</v>
      </c>
      <c r="N49" s="10" t="s">
        <v>18</v>
      </c>
      <c r="O49" s="5" t="str">
        <f>CONCATENATE(B49,F49,D49,UPPER(LEFT(J49,3)),RIGHT(A49,3))</f>
        <v>GM98SLVBLA018</v>
      </c>
    </row>
    <row r="50" spans="1:15">
      <c r="A50" s="4" t="s">
        <v>86</v>
      </c>
      <c r="B50" s="5" t="str">
        <f>LEFT(A50,2)</f>
        <v>CR</v>
      </c>
      <c r="C50" s="5" t="str">
        <f>VLOOKUP(B50,C$58:D$63,2)</f>
        <v>Chrysler</v>
      </c>
      <c r="D50" s="5" t="str">
        <f>MID(A50,5,3)</f>
        <v>CAR</v>
      </c>
      <c r="E50" s="5" t="str">
        <f>VLOOKUP(D50,$F$58:$G$68,2)</f>
        <v>Caravan</v>
      </c>
      <c r="F50" s="5" t="str">
        <f>MID(A50, 3, 2)</f>
        <v>99</v>
      </c>
      <c r="G50" s="5">
        <f t="shared" si="0"/>
        <v>27</v>
      </c>
      <c r="H50" s="6">
        <v>79420.600000000006</v>
      </c>
      <c r="I50" s="5">
        <f>IF(G50=0,0, H50/G50)</f>
        <v>2941.5037037037041</v>
      </c>
      <c r="J50" s="6" t="s">
        <v>54</v>
      </c>
      <c r="K50" s="6" t="s">
        <v>35</v>
      </c>
      <c r="L50" s="6">
        <v>75000</v>
      </c>
      <c r="M50" s="5" t="str">
        <f>IF(H50&lt;=L50, "Yes", "Not Covered")</f>
        <v>Not Covered</v>
      </c>
      <c r="N50" s="7" t="s">
        <v>18</v>
      </c>
      <c r="O50" s="5" t="str">
        <f>CONCATENATE(B50,F50,D50,UPPER(LEFT(J50,3)),RIGHT(A50,3))</f>
        <v>CR99CARGRE045</v>
      </c>
    </row>
    <row r="51" spans="1:15">
      <c r="A51" s="8" t="s">
        <v>87</v>
      </c>
      <c r="B51" s="5" t="str">
        <f>LEFT(A51,2)</f>
        <v>GM</v>
      </c>
      <c r="C51" s="5" t="str">
        <f>VLOOKUP(B51,C$58:D$63,2)</f>
        <v>General Motors</v>
      </c>
      <c r="D51" s="5" t="str">
        <f>MID(A51,5,3)</f>
        <v>CMR</v>
      </c>
      <c r="E51" s="5" t="str">
        <f>VLOOKUP(D51,$F$58:$G$68,2)</f>
        <v>Camero</v>
      </c>
      <c r="F51" s="5" t="str">
        <f>MID(A51, 3, 2)</f>
        <v>14</v>
      </c>
      <c r="G51" s="5">
        <f t="shared" si="0"/>
        <v>12</v>
      </c>
      <c r="H51" s="9">
        <v>14289.6</v>
      </c>
      <c r="I51" s="5">
        <f>IF(G51=0,0, H51/G51)</f>
        <v>1190.8</v>
      </c>
      <c r="J51" s="9" t="s">
        <v>20</v>
      </c>
      <c r="K51" s="9" t="s">
        <v>44</v>
      </c>
      <c r="L51" s="9">
        <v>100000</v>
      </c>
      <c r="M51" s="5" t="str">
        <f>IF(H51&lt;=L51, "Yes", "Not Covered")</f>
        <v>Yes</v>
      </c>
      <c r="N51" s="10" t="s">
        <v>18</v>
      </c>
      <c r="O51" s="5" t="str">
        <f>CONCATENATE(B51,F51,D51,UPPER(LEFT(J51,3)),RIGHT(A51,3))</f>
        <v>GM14CMRWHI016</v>
      </c>
    </row>
    <row r="52" spans="1:15">
      <c r="A52" s="20" t="s">
        <v>88</v>
      </c>
      <c r="B52" s="21" t="str">
        <f>LEFT(A52,2)</f>
        <v>HO</v>
      </c>
      <c r="C52" s="21" t="str">
        <f>VLOOKUP(B52,C$58:D$63,2)</f>
        <v>Honda</v>
      </c>
      <c r="D52" s="21" t="str">
        <f>MID(A52,5,3)</f>
        <v>ODY</v>
      </c>
      <c r="E52" s="21" t="str">
        <f>VLOOKUP(D52,$F$58:$G$68,2)</f>
        <v>Odyssey</v>
      </c>
      <c r="F52" s="21" t="str">
        <f>MID(A52, 3, 2)</f>
        <v>14</v>
      </c>
      <c r="G52" s="5">
        <f t="shared" si="0"/>
        <v>12</v>
      </c>
      <c r="H52" s="20">
        <v>3708.1</v>
      </c>
      <c r="I52" s="21">
        <f>IF(G52=0,0, H52/G52)</f>
        <v>309.00833333333333</v>
      </c>
      <c r="J52" s="20" t="s">
        <v>16</v>
      </c>
      <c r="K52" s="20" t="s">
        <v>37</v>
      </c>
      <c r="L52" s="20">
        <v>100000</v>
      </c>
      <c r="M52" s="21" t="str">
        <f>IF(H52&lt;=L52, "Yes", "Not Covered")</f>
        <v>Yes</v>
      </c>
      <c r="N52" s="21" t="s">
        <v>18</v>
      </c>
      <c r="O52" s="21" t="str">
        <f>CONCATENATE(B52,F52,D52,UPPER(LEFT(J52,3)),RIGHT(A52,3))</f>
        <v>HO14ODYBLA041</v>
      </c>
    </row>
    <row r="57" spans="1:15">
      <c r="B57" s="11"/>
      <c r="C57" s="11"/>
      <c r="D57" s="11"/>
      <c r="E57" s="11"/>
      <c r="F57" s="11"/>
      <c r="G57" s="11"/>
      <c r="H57" s="11"/>
    </row>
    <row r="58" spans="1:15">
      <c r="B58" s="11"/>
      <c r="C58" s="22" t="s">
        <v>89</v>
      </c>
      <c r="D58" s="22" t="s">
        <v>90</v>
      </c>
      <c r="E58" s="11"/>
      <c r="F58" s="23" t="s">
        <v>91</v>
      </c>
      <c r="G58" s="23" t="s">
        <v>92</v>
      </c>
      <c r="H58" s="11"/>
    </row>
    <row r="59" spans="1:15">
      <c r="B59" s="11"/>
      <c r="C59" s="22" t="s">
        <v>93</v>
      </c>
      <c r="D59" s="22" t="s">
        <v>94</v>
      </c>
      <c r="E59" s="11"/>
      <c r="F59" s="23" t="s">
        <v>95</v>
      </c>
      <c r="G59" s="23" t="s">
        <v>96</v>
      </c>
      <c r="H59" s="11"/>
    </row>
    <row r="60" spans="1:15">
      <c r="B60" s="11"/>
      <c r="C60" s="22" t="s">
        <v>97</v>
      </c>
      <c r="D60" s="22" t="s">
        <v>98</v>
      </c>
      <c r="E60" s="11"/>
      <c r="F60" s="23" t="s">
        <v>99</v>
      </c>
      <c r="G60" s="23" t="s">
        <v>100</v>
      </c>
      <c r="H60" s="11"/>
    </row>
    <row r="61" spans="1:15">
      <c r="B61" s="11"/>
      <c r="C61" s="22" t="s">
        <v>101</v>
      </c>
      <c r="D61" s="22" t="s">
        <v>102</v>
      </c>
      <c r="E61" s="11"/>
      <c r="F61" s="23" t="s">
        <v>103</v>
      </c>
      <c r="G61" s="23" t="s">
        <v>104</v>
      </c>
      <c r="H61" s="11"/>
    </row>
    <row r="62" spans="1:15">
      <c r="B62" s="11"/>
      <c r="C62" s="22" t="s">
        <v>105</v>
      </c>
      <c r="D62" s="22" t="s">
        <v>106</v>
      </c>
      <c r="E62" s="11"/>
      <c r="F62" s="23" t="s">
        <v>107</v>
      </c>
      <c r="G62" s="23" t="s">
        <v>108</v>
      </c>
      <c r="H62" s="11"/>
    </row>
    <row r="63" spans="1:15">
      <c r="B63" s="11"/>
      <c r="C63" s="22" t="s">
        <v>109</v>
      </c>
      <c r="D63" s="22" t="s">
        <v>110</v>
      </c>
      <c r="E63" s="11"/>
      <c r="F63" s="23" t="s">
        <v>111</v>
      </c>
      <c r="G63" s="23" t="s">
        <v>112</v>
      </c>
      <c r="H63" s="11"/>
    </row>
    <row r="64" spans="1:15">
      <c r="B64" s="11"/>
      <c r="C64" s="11"/>
      <c r="D64" s="11"/>
      <c r="E64" s="11"/>
      <c r="F64" s="23" t="s">
        <v>113</v>
      </c>
      <c r="G64" s="23" t="s">
        <v>114</v>
      </c>
      <c r="H64" s="11"/>
    </row>
    <row r="65" spans="2:8">
      <c r="B65" s="11"/>
      <c r="C65" s="11"/>
      <c r="D65" s="11"/>
      <c r="E65" s="11"/>
      <c r="F65" s="23" t="s">
        <v>115</v>
      </c>
      <c r="G65" s="23" t="s">
        <v>116</v>
      </c>
      <c r="H65" s="11"/>
    </row>
    <row r="66" spans="2:8">
      <c r="B66" s="11"/>
      <c r="C66" s="11"/>
      <c r="D66" s="11"/>
      <c r="E66" s="11"/>
      <c r="F66" s="23" t="s">
        <v>117</v>
      </c>
      <c r="G66" s="23" t="s">
        <v>118</v>
      </c>
      <c r="H66" s="11"/>
    </row>
    <row r="67" spans="2:8">
      <c r="B67" s="11"/>
      <c r="C67" s="11"/>
      <c r="D67" s="11"/>
      <c r="E67" s="11"/>
      <c r="F67" s="23" t="s">
        <v>119</v>
      </c>
      <c r="G67" s="23" t="s">
        <v>120</v>
      </c>
      <c r="H67" s="11"/>
    </row>
    <row r="68" spans="2:8">
      <c r="B68" s="11"/>
      <c r="C68" s="11"/>
      <c r="D68" s="11"/>
      <c r="E68" s="11"/>
      <c r="F68" s="23" t="s">
        <v>121</v>
      </c>
      <c r="G68" s="23" t="s">
        <v>122</v>
      </c>
      <c r="H68" s="11"/>
    </row>
  </sheetData>
  <sortState xmlns:xlrd2="http://schemas.microsoft.com/office/spreadsheetml/2017/richdata2" ref="A1:O52">
    <sortCondition descending="1" ref="I1:I5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20B6-E713-4EE0-AA29-976974F38322}">
  <dimension ref="A3:B21"/>
  <sheetViews>
    <sheetView workbookViewId="0">
      <selection activeCell="R12" sqref="R12"/>
    </sheetView>
  </sheetViews>
  <sheetFormatPr defaultRowHeight="15"/>
  <cols>
    <col min="1" max="1" width="11.42578125" bestFit="1" customWidth="1"/>
    <col min="2" max="2" width="13.42578125" bestFit="1" customWidth="1"/>
  </cols>
  <sheetData>
    <row r="3" spans="1:2">
      <c r="A3" s="12" t="s">
        <v>10</v>
      </c>
      <c r="B3" s="13" t="s">
        <v>123</v>
      </c>
    </row>
    <row r="4" spans="1:2">
      <c r="A4" t="s">
        <v>17</v>
      </c>
      <c r="B4" s="13">
        <v>305432.40000000002</v>
      </c>
    </row>
    <row r="5" spans="1:2">
      <c r="A5" t="s">
        <v>65</v>
      </c>
      <c r="B5" s="13">
        <v>184693.8</v>
      </c>
    </row>
    <row r="6" spans="1:2">
      <c r="A6" t="s">
        <v>61</v>
      </c>
      <c r="B6" s="13">
        <v>179986</v>
      </c>
    </row>
    <row r="7" spans="1:2">
      <c r="A7" t="s">
        <v>51</v>
      </c>
      <c r="B7" s="13">
        <v>177713.9</v>
      </c>
    </row>
    <row r="8" spans="1:2">
      <c r="A8" t="s">
        <v>26</v>
      </c>
      <c r="B8" s="13">
        <v>154427.9</v>
      </c>
    </row>
    <row r="9" spans="1:2">
      <c r="A9" t="s">
        <v>31</v>
      </c>
      <c r="B9" s="13">
        <v>150656.40000000002</v>
      </c>
    </row>
    <row r="10" spans="1:2">
      <c r="A10" t="s">
        <v>42</v>
      </c>
      <c r="B10" s="13">
        <v>144647.69999999998</v>
      </c>
    </row>
    <row r="11" spans="1:2">
      <c r="A11" t="s">
        <v>48</v>
      </c>
      <c r="B11" s="13">
        <v>143640.70000000001</v>
      </c>
    </row>
    <row r="12" spans="1:2">
      <c r="A12" t="s">
        <v>29</v>
      </c>
      <c r="B12" s="13">
        <v>141229.4</v>
      </c>
    </row>
    <row r="13" spans="1:2">
      <c r="A13" t="s">
        <v>33</v>
      </c>
      <c r="B13" s="13">
        <v>138561.5</v>
      </c>
    </row>
    <row r="14" spans="1:2">
      <c r="A14" t="s">
        <v>35</v>
      </c>
      <c r="B14" s="13">
        <v>135078.20000000001</v>
      </c>
    </row>
    <row r="15" spans="1:2">
      <c r="A15" t="s">
        <v>23</v>
      </c>
      <c r="B15" s="13">
        <v>130601.59999999999</v>
      </c>
    </row>
    <row r="16" spans="1:2">
      <c r="A16" t="s">
        <v>40</v>
      </c>
      <c r="B16" s="13">
        <v>127731.3</v>
      </c>
    </row>
    <row r="17" spans="1:2">
      <c r="A17" t="s">
        <v>37</v>
      </c>
      <c r="B17" s="13">
        <v>70964.899999999994</v>
      </c>
    </row>
    <row r="18" spans="1:2">
      <c r="A18" t="s">
        <v>44</v>
      </c>
      <c r="B18" s="13">
        <v>65964.899999999994</v>
      </c>
    </row>
    <row r="19" spans="1:2">
      <c r="A19" t="s">
        <v>21</v>
      </c>
      <c r="B19" s="13">
        <v>47758.7</v>
      </c>
    </row>
    <row r="20" spans="1:2">
      <c r="A20" t="s">
        <v>46</v>
      </c>
      <c r="B20" s="13">
        <v>19341.7</v>
      </c>
    </row>
    <row r="21" spans="1:2">
      <c r="A21" t="s">
        <v>124</v>
      </c>
      <c r="B21" s="13">
        <v>2318431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2026-05-08T18:19:43Z</dcterms:created>
  <dcterms:modified xsi:type="dcterms:W3CDTF">2026-05-09T15:43:05Z</dcterms:modified>
  <cp:category/>
  <cp:contentStatus/>
</cp:coreProperties>
</file>