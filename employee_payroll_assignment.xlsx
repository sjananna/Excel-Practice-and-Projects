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6fce6bad9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f0c55fd03d40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$#,##0.00;[Red]-$#,##0.00;&quot;-&quot;"/>
    <x:numFmt numFmtId="202" formatCode="0.00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DD8C1"/>
      </x:patternFill>
    </x:fill>
    <x:fill>
      <x:patternFill patternType="solid">
        <x:fgColor rgb="6B8E23"/>
      </x:patternFill>
    </x:fill>
    <x:fill>
      <x:patternFill patternType="solid">
        <x:fgColor rgb="F4B183"/>
      </x:patternFill>
    </x:fill>
    <x:fill>
      <x:patternFill patternType="solid">
        <x:fgColor rgb="9DC3E6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3" borderId="0" xfId="0" applyNumberFormat="1" applyFont="1" applyFill="1" applyBorder="1"/>
    <x:xf numFmtId="201" fontId="3" fillId="4" borderId="0" xfId="0" applyNumberFormat="1" applyFont="1" applyFill="1" applyBorder="1"/>
    <x:xf numFmtId="201" fontId="3" fillId="5" borderId="0" xfId="0" applyNumberFormat="1" applyFont="1" applyFill="1" applyBorder="1"/>
    <x:xf numFmtId="201" fontId="3" fillId="3" borderId="1" xfId="0" applyNumberFormat="1" applyFont="1" applyFill="1" applyBorder="1"/>
    <x:xf numFmtId="201" fontId="3" fillId="4" borderId="1" xfId="0" applyNumberFormat="1" applyFont="1" applyFill="1" applyBorder="1"/>
    <x:xf numFmtId="201" fontId="3" fillId="5" borderId="1" xfId="0" applyNumberFormat="1" applyFont="1" applyFill="1" applyBorder="1"/>
    <x:xf numFmtId="202" fontId="3" fillId="2" borderId="0" xfId="0" applyNumberFormat="1" applyFont="1" applyFill="1" applyBorder="1"/>
    <x:xf numFmtId="202" fontId="3" fillId="2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2" fontId="3" fillId="2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201" fontId="3" fillId="5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201" fontId="3" fillId="4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1" xfId="0" applyNumberFormat="1" applyFont="1" applyFill="1" applyBorder="1" applyAlignment="1">
      <x:alignment horizontal="right" vertical="center"/>
    </x:xf>
    <x:xf numFmtId="202" fontId="3" fillId="2" borderId="1" xfId="0" applyNumberFormat="1" applyFont="1" applyFill="1" applyBorder="1" applyAlignment="1">
      <x:alignment horizontal="right" vertical="center"/>
    </x:xf>
    <x:xf numFmtId="201" fontId="3" fillId="3" borderId="1" xfId="0" applyNumberFormat="1" applyFont="1" applyFill="1" applyBorder="1" applyAlignment="1">
      <x:alignment horizontal="right" vertical="center"/>
    </x:xf>
    <x:xf numFmtId="201" fontId="3" fillId="4" borderId="1" xfId="0" applyNumberFormat="1" applyFont="1" applyFill="1" applyBorder="1" applyAlignment="1">
      <x:alignment horizontal="right" vertical="center"/>
    </x:xf>
    <x:xf numFmtId="201" fontId="3" fillId="5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b9540fcb04845" /><Relationship Type="http://schemas.openxmlformats.org/officeDocument/2006/relationships/theme" Target="/xl/theme/theme1.xml" Id="Re6e78bd49c9542b6" /><Relationship Type="http://schemas.openxmlformats.org/officeDocument/2006/relationships/sharedStrings" Target="/xl/sharedStrings.xml" Id="Rc23d67c4ddd2414d" /><Relationship Type="http://schemas.openxmlformats.org/officeDocument/2006/relationships/worksheet" Target="/xl/worksheets/sheet1.xml" Id="Rf0c55fd03d404a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>
      <x:c r="A1" s="50" t="str">
        <x:v>Employee Payroll</x:v>
      </x:c>
      <x:c r="B1" s="50"/>
      <x:c r="C1" s="50" t="str">
        <x:v>Mr. Sluiter</x:v>
      </x:c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51"/>
      <x:c r="B2" s="51"/>
      <x:c r="C2" s="51"/>
      <x:c r="D2" s="52" t="str">
        <x:v>Hours Worked</x:v>
      </x:c>
      <x:c r="E2" s="52"/>
      <x:c r="F2" s="52"/>
      <x:c r="G2" s="52"/>
      <x:c r="H2" s="52"/>
      <x:c r="I2" s="53" t="str">
        <x:v>Pay</x:v>
      </x:c>
      <x:c r="J2" s="53"/>
      <x:c r="K2" s="53"/>
      <x:c r="L2" s="53"/>
      <x:c r="M2" s="53"/>
      <x:c r="N2" s="54" t="str">
        <x:v>OT Bonus</x:v>
      </x:c>
      <x:c r="O2" s="54"/>
      <x:c r="P2" s="54"/>
      <x:c r="Q2" s="54"/>
      <x:c r="R2" s="54"/>
      <x:c r="S2" s="55" t="str">
        <x:v>Total Pay</x:v>
      </x:c>
      <x:c r="T2" s="55"/>
      <x:c r="U2" s="55"/>
      <x:c r="V2" s="55"/>
      <x:c r="W2" s="55"/>
    </x:row>
    <x:row r="3">
      <x:c r="A3" s="96" t="str">
        <x:v>Last Name</x:v>
      </x:c>
      <x:c r="B3" s="96" t="str">
        <x:v>First Name</x:v>
      </x:c>
      <x:c r="C3" s="96" t="str">
        <x:v>Hourly Wage</x:v>
      </x:c>
      <x:c r="D3" s="57" t="str">
        <x:v>1-Jan-14</x:v>
      </x:c>
      <x:c r="E3" s="57" t="str">
        <x:v>8-Jan-14</x:v>
      </x:c>
      <x:c r="F3" s="57" t="str">
        <x:v>15-Jan-14</x:v>
      </x:c>
      <x:c r="G3" s="57" t="str">
        <x:v>22-Jan-14</x:v>
      </x:c>
      <x:c r="H3" s="57" t="str">
        <x:v>29-Jan-14</x:v>
      </x:c>
      <x:c r="I3" s="58" t="str">
        <x:v>1-Jan-14</x:v>
      </x:c>
      <x:c r="J3" s="58" t="str">
        <x:v>8-Jan-14</x:v>
      </x:c>
      <x:c r="K3" s="58" t="str">
        <x:v>15-Jan-14</x:v>
      </x:c>
      <x:c r="L3" s="58" t="str">
        <x:v>22-Jan-14</x:v>
      </x:c>
      <x:c r="M3" s="58" t="str">
        <x:v>29-Jan-14</x:v>
      </x:c>
      <x:c r="N3" s="59" t="str">
        <x:v>1-Jan-14</x:v>
      </x:c>
      <x:c r="O3" s="59" t="str">
        <x:v>8-Jan-14</x:v>
      </x:c>
      <x:c r="P3" s="59" t="str">
        <x:v>15-Jan-14</x:v>
      </x:c>
      <x:c r="Q3" s="59" t="str">
        <x:v>22-Jan-14</x:v>
      </x:c>
      <x:c r="R3" s="59" t="str">
        <x:v>29-Jan-14</x:v>
      </x:c>
      <x:c r="S3" s="60" t="str">
        <x:v>1-Jan-14</x:v>
      </x:c>
      <x:c r="T3" s="60" t="str">
        <x:v>8-Jan-14</x:v>
      </x:c>
      <x:c r="U3" s="60" t="str">
        <x:v>15-Jan-14</x:v>
      </x:c>
      <x:c r="V3" s="60" t="str">
        <x:v>22-Jan-14</x:v>
      </x:c>
      <x:c r="W3" s="60" t="str">
        <x:v>29-Jan-14</x:v>
      </x:c>
    </x:row>
    <x:row r="4">
      <x:c r="A4" s="61" t="str">
        <x:v>Kern</x:v>
      </x:c>
      <x:c r="B4" s="61" t="str">
        <x:v>Jon</x:v>
      </x:c>
      <x:c r="C4" s="84" t="n">
        <x:v>15.9</x:v>
      </x:c>
      <x:c r="D4" s="85" t="n">
        <x:v>41</x:v>
      </x:c>
      <x:c r="E4" s="85" t="n">
        <x:v>42</x:v>
      </x:c>
      <x:c r="F4" s="85" t="n">
        <x:v>49</x:v>
      </x:c>
      <x:c r="G4" s="85" t="n">
        <x:v>39</x:v>
      </x:c>
      <x:c r="H4" s="85" t="n">
        <x:v>46</x:v>
      </x:c>
      <x:c r="I4" s="86" t="n">
        <x:f>$C4*D4</x:f>
        <x:v>651.9</x:v>
      </x:c>
      <x:c r="J4" s="86" t="n">
        <x:f>$C4*E4</x:f>
        <x:v>667.8000000000001</x:v>
      </x:c>
      <x:c r="K4" s="86" t="n">
        <x:f>$C4*F4</x:f>
        <x:v>779.1</x:v>
      </x:c>
      <x:c r="L4" s="86" t="n">
        <x:f>$C4*G4</x:f>
        <x:v>620.1</x:v>
      </x:c>
      <x:c r="M4" s="86" t="n">
        <x:f>$C4*H4</x:f>
        <x:v>731.4</x:v>
      </x:c>
      <x:c r="N4" s="87" t="n">
        <x:f>IF(D4&gt;40,0.5*$C4*(D4-40),0)</x:f>
        <x:v>7.95</x:v>
      </x:c>
      <x:c r="O4" s="87" t="n">
        <x:f>IF(E4&gt;40,0.5*$C4*(E4-40),0)</x:f>
        <x:v>15.9</x:v>
      </x:c>
      <x:c r="P4" s="87" t="n">
        <x:f>IF(F4&gt;40,0.5*$C4*(F4-40),0)</x:f>
        <x:v>71.55</x:v>
      </x:c>
      <x:c r="Q4" s="87" t="n">
        <x:f>IF(G4&gt;40,0.5*$C4*(G4-40),0)</x:f>
        <x:v>0</x:v>
      </x:c>
      <x:c r="R4" s="87" t="n">
        <x:f>IF(H4&gt;40,0.5*$C4*(H4-40),0)</x:f>
        <x:v>47.7</x:v>
      </x:c>
      <x:c r="S4" s="88" t="n">
        <x:f>I4+N4</x:f>
        <x:v>659.85</x:v>
      </x:c>
      <x:c r="T4" s="88" t="n">
        <x:f>J4+O4</x:f>
        <x:v>683.7</x:v>
      </x:c>
      <x:c r="U4" s="88" t="n">
        <x:f>K4+P4</x:f>
        <x:v>850.65</x:v>
      </x:c>
      <x:c r="V4" s="88" t="n">
        <x:f>L4+Q4</x:f>
        <x:v>620.1</x:v>
      </x:c>
      <x:c r="W4" s="88" t="n">
        <x:f>M4+R4</x:f>
        <x:v>779.1</x:v>
      </x:c>
    </x:row>
    <x:row r="5">
      <x:c r="A5" s="61" t="str">
        <x:v>Howard</x:v>
      </x:c>
      <x:c r="B5" s="61" t="str">
        <x:v>Glenda</x:v>
      </x:c>
      <x:c r="C5" s="84" t="n">
        <x:v>10</x:v>
      </x:c>
      <x:c r="D5" s="85" t="n">
        <x:v>42</x:v>
      </x:c>
      <x:c r="E5" s="85" t="n">
        <x:v>41</x:v>
      </x:c>
      <x:c r="F5" s="85" t="n">
        <x:v>40</x:v>
      </x:c>
      <x:c r="G5" s="85" t="n">
        <x:v>38</x:v>
      </x:c>
      <x:c r="H5" s="85" t="n">
        <x:v>44</x:v>
      </x:c>
      <x:c r="I5" s="86" t="n">
        <x:f>$C5*D5</x:f>
        <x:v>420</x:v>
      </x:c>
      <x:c r="J5" s="86" t="n">
        <x:f>$C5*E5</x:f>
        <x:v>410</x:v>
      </x:c>
      <x:c r="K5" s="86" t="n">
        <x:f>$C5*F5</x:f>
        <x:v>400</x:v>
      </x:c>
      <x:c r="L5" s="86" t="n">
        <x:f>$C5*G5</x:f>
        <x:v>380</x:v>
      </x:c>
      <x:c r="M5" s="86" t="n">
        <x:f>$C5*H5</x:f>
        <x:v>440</x:v>
      </x:c>
      <x:c r="N5" s="87" t="n">
        <x:f>IF(D5&gt;40,0.5*$C5*(D5-40),0)</x:f>
        <x:v>10</x:v>
      </x:c>
      <x:c r="O5" s="87" t="n">
        <x:f>IF(E5&gt;40,0.5*$C5*(E5-40),0)</x:f>
        <x:v>5</x:v>
      </x:c>
      <x:c r="P5" s="87" t="n">
        <x:f>IF(F5&gt;40,0.5*$C5*(F5-40),0)</x:f>
        <x:v>0</x:v>
      </x:c>
      <x:c r="Q5" s="87" t="n">
        <x:f>IF(G5&gt;40,0.5*$C5*(G5-40),0)</x:f>
        <x:v>0</x:v>
      </x:c>
      <x:c r="R5" s="87" t="n">
        <x:f>IF(H5&gt;40,0.5*$C5*(H5-40),0)</x:f>
        <x:v>20</x:v>
      </x:c>
      <x:c r="S5" s="88" t="n">
        <x:f>I5+N5</x:f>
        <x:v>430</x:v>
      </x:c>
      <x:c r="T5" s="88" t="n">
        <x:f>J5+O5</x:f>
        <x:v>415</x:v>
      </x:c>
      <x:c r="U5" s="88" t="n">
        <x:f>K5+P5</x:f>
        <x:v>400</x:v>
      </x:c>
      <x:c r="V5" s="88" t="n">
        <x:f>L5+Q5</x:f>
        <x:v>380</x:v>
      </x:c>
      <x:c r="W5" s="88" t="n">
        <x:f>M5+R5</x:f>
        <x:v>460</x:v>
      </x:c>
    </x:row>
    <x:row r="6">
      <x:c r="A6" s="61" t="str">
        <x:v>O'Donnald</x:v>
      </x:c>
      <x:c r="B6" s="61" t="str">
        <x:v>Ron</x:v>
      </x:c>
      <x:c r="C6" s="84" t="n">
        <x:v>22.1</x:v>
      </x:c>
      <x:c r="D6" s="85" t="n">
        <x:v>49</x:v>
      </x:c>
      <x:c r="E6" s="85" t="n">
        <x:v>40</x:v>
      </x:c>
      <x:c r="F6" s="85" t="n">
        <x:v>33</x:v>
      </x:c>
      <x:c r="G6" s="85" t="n">
        <x:v>20</x:v>
      </x:c>
      <x:c r="H6" s="85" t="n">
        <x:v>18</x:v>
      </x:c>
      <x:c r="I6" s="86" t="n">
        <x:f>$C6*D6</x:f>
        <x:v>1082.9</x:v>
      </x:c>
      <x:c r="J6" s="86" t="n">
        <x:f>$C6*E6</x:f>
        <x:v>884</x:v>
      </x:c>
      <x:c r="K6" s="86" t="n">
        <x:f>$C6*F6</x:f>
        <x:v>729.3000000000001</x:v>
      </x:c>
      <x:c r="L6" s="86" t="n">
        <x:f>$C6*G6</x:f>
        <x:v>442</x:v>
      </x:c>
      <x:c r="M6" s="86" t="n">
        <x:f>$C6*H6</x:f>
        <x:v>397.8</x:v>
      </x:c>
      <x:c r="N6" s="87" t="n">
        <x:f>IF(D6&gt;40,0.5*$C6*(D6-40),0)</x:f>
        <x:v>99.45</x:v>
      </x:c>
      <x:c r="O6" s="87" t="n">
        <x:f>IF(E6&gt;40,0.5*$C6*(E6-40),0)</x:f>
        <x:v>0</x:v>
      </x:c>
      <x:c r="P6" s="87" t="n">
        <x:f>IF(F6&gt;40,0.5*$C6*(F6-40),0)</x:f>
        <x:v>0</x:v>
      </x:c>
      <x:c r="Q6" s="87" t="n">
        <x:f>IF(G6&gt;40,0.5*$C6*(G6-40),0)</x:f>
        <x:v>0</x:v>
      </x:c>
      <x:c r="R6" s="87" t="n">
        <x:f>IF(H6&gt;40,0.5*$C6*(H6-40),0)</x:f>
        <x:v>0</x:v>
      </x:c>
      <x:c r="S6" s="88" t="n">
        <x:f>I6+N6</x:f>
        <x:v>1182.3500000000001</x:v>
      </x:c>
      <x:c r="T6" s="88" t="n">
        <x:f>J6+O6</x:f>
        <x:v>884</x:v>
      </x:c>
      <x:c r="U6" s="88" t="n">
        <x:f>K6+P6</x:f>
        <x:v>729.3000000000001</x:v>
      </x:c>
      <x:c r="V6" s="88" t="n">
        <x:f>L6+Q6</x:f>
        <x:v>442</x:v>
      </x:c>
      <x:c r="W6" s="88" t="n">
        <x:f>M6+R6</x:f>
        <x:v>397.8</x:v>
      </x:c>
    </x:row>
    <x:row r="7">
      <x:c r="A7" s="61" t="str">
        <x:v>Hernandez</x:v>
      </x:c>
      <x:c r="B7" s="61" t="str">
        <x:v>Wendy</x:v>
      </x:c>
      <x:c r="C7" s="84" t="n">
        <x:v>19.1</x:v>
      </x:c>
      <x:c r="D7" s="85" t="n">
        <x:v>41</x:v>
      </x:c>
      <x:c r="E7" s="85" t="n">
        <x:v>50</x:v>
      </x:c>
      <x:c r="F7" s="85" t="n">
        <x:v>47</x:v>
      </x:c>
      <x:c r="G7" s="85" t="n">
        <x:v>30</x:v>
      </x:c>
      <x:c r="H7" s="85" t="n">
        <x:v>39</x:v>
      </x:c>
      <x:c r="I7" s="86" t="n">
        <x:f>$C7*D7</x:f>
        <x:v>783.1</x:v>
      </x:c>
      <x:c r="J7" s="86" t="n">
        <x:f>$C7*E7</x:f>
        <x:v>955.0000000000001</x:v>
      </x:c>
      <x:c r="K7" s="86" t="n">
        <x:f>$C7*F7</x:f>
        <x:v>897.7</x:v>
      </x:c>
      <x:c r="L7" s="86" t="n">
        <x:f>$C7*G7</x:f>
        <x:v>573</x:v>
      </x:c>
      <x:c r="M7" s="86" t="n">
        <x:f>$C7*H7</x:f>
        <x:v>744.9000000000001</x:v>
      </x:c>
      <x:c r="N7" s="87" t="n">
        <x:f>IF(D7&gt;40,0.5*$C7*(D7-40),0)</x:f>
        <x:v>9.55</x:v>
      </x:c>
      <x:c r="O7" s="87" t="n">
        <x:f>IF(E7&gt;40,0.5*$C7*(E7-40),0)</x:f>
        <x:v>95.5</x:v>
      </x:c>
      <x:c r="P7" s="87" t="n">
        <x:f>IF(F7&gt;40,0.5*$C7*(F7-40),0)</x:f>
        <x:v>66.85000000000001</x:v>
      </x:c>
      <x:c r="Q7" s="87" t="n">
        <x:f>IF(G7&gt;40,0.5*$C7*(G7-40),0)</x:f>
        <x:v>0</x:v>
      </x:c>
      <x:c r="R7" s="87" t="n">
        <x:f>IF(H7&gt;40,0.5*$C7*(H7-40),0)</x:f>
        <x:v>0</x:v>
      </x:c>
      <x:c r="S7" s="88" t="n">
        <x:f>I7+N7</x:f>
        <x:v>792.65</x:v>
      </x:c>
      <x:c r="T7" s="88" t="n">
        <x:f>J7+O7</x:f>
        <x:v>1050.5</x:v>
      </x:c>
      <x:c r="U7" s="88" t="n">
        <x:f>K7+P7</x:f>
        <x:v>964.5500000000001</x:v>
      </x:c>
      <x:c r="V7" s="88" t="n">
        <x:f>L7+Q7</x:f>
        <x:v>573</x:v>
      </x:c>
      <x:c r="W7" s="88" t="n">
        <x:f>M7+R7</x:f>
        <x:v>744.9000000000001</x:v>
      </x:c>
    </x:row>
    <x:row r="8">
      <x:c r="A8" s="61" t="str">
        <x:v>Smith</x:v>
      </x:c>
      <x:c r="B8" s="61" t="str">
        <x:v>Paul</x:v>
      </x:c>
      <x:c r="C8" s="84" t="n">
        <x:v>6.9</x:v>
      </x:c>
      <x:c r="D8" s="85" t="n">
        <x:v>39</x:v>
      </x:c>
      <x:c r="E8" s="85" t="n">
        <x:v>52</x:v>
      </x:c>
      <x:c r="F8" s="85" t="n">
        <x:v>42</x:v>
      </x:c>
      <x:c r="G8" s="85" t="n">
        <x:v>40</x:v>
      </x:c>
      <x:c r="H8" s="85" t="n">
        <x:v>40</x:v>
      </x:c>
      <x:c r="I8" s="86" t="n">
        <x:f>$C8*D8</x:f>
        <x:v>269.1</x:v>
      </x:c>
      <x:c r="J8" s="86" t="n">
        <x:f>$C8*E8</x:f>
        <x:v>358.8</x:v>
      </x:c>
      <x:c r="K8" s="86" t="n">
        <x:f>$C8*F8</x:f>
        <x:v>289.8</x:v>
      </x:c>
      <x:c r="L8" s="86" t="n">
        <x:f>$C8*G8</x:f>
        <x:v>276</x:v>
      </x:c>
      <x:c r="M8" s="86" t="n">
        <x:f>$C8*H8</x:f>
        <x:v>276</x:v>
      </x:c>
      <x:c r="N8" s="87" t="n">
        <x:f>IF(D8&gt;40,0.5*$C8*(D8-40),0)</x:f>
        <x:v>0</x:v>
      </x:c>
      <x:c r="O8" s="87" t="n">
        <x:f>IF(E8&gt;40,0.5*$C8*(E8-40),0)</x:f>
        <x:v>41.400000000000006</x:v>
      </x:c>
      <x:c r="P8" s="87" t="n">
        <x:f>IF(F8&gt;40,0.5*$C8*(F8-40),0)</x:f>
        <x:v>6.9</x:v>
      </x:c>
      <x:c r="Q8" s="87" t="n">
        <x:f>IF(G8&gt;40,0.5*$C8*(G8-40),0)</x:f>
        <x:v>0</x:v>
      </x:c>
      <x:c r="R8" s="87" t="n">
        <x:f>IF(H8&gt;40,0.5*$C8*(H8-40),0)</x:f>
        <x:v>0</x:v>
      </x:c>
      <x:c r="S8" s="88" t="n">
        <x:f>I8+N8</x:f>
        <x:v>269.1</x:v>
      </x:c>
      <x:c r="T8" s="88" t="n">
        <x:f>J8+O8</x:f>
        <x:v>400.20000000000005</x:v>
      </x:c>
      <x:c r="U8" s="88" t="n">
        <x:f>K8+P8</x:f>
        <x:v>296.7</x:v>
      </x:c>
      <x:c r="V8" s="88" t="n">
        <x:f>L8+Q8</x:f>
        <x:v>276</x:v>
      </x:c>
      <x:c r="W8" s="88" t="n">
        <x:f>M8+R8</x:f>
        <x:v>276</x:v>
      </x:c>
    </x:row>
    <x:row r="9">
      <x:c r="A9" s="61" t="str">
        <x:v>Baker</x:v>
      </x:c>
      <x:c r="B9" s="61" t="str">
        <x:v>Tom</x:v>
      </x:c>
      <x:c r="C9" s="84" t="n">
        <x:v>14.2</x:v>
      </x:c>
      <x:c r="D9" s="85" t="n">
        <x:v>44</x:v>
      </x:c>
      <x:c r="E9" s="85" t="n">
        <x:v>51</x:v>
      </x:c>
      <x:c r="F9" s="85" t="n">
        <x:v>42</x:v>
      </x:c>
      <x:c r="G9" s="85" t="n">
        <x:v>40</x:v>
      </x:c>
      <x:c r="H9" s="85" t="n">
        <x:v>20</x:v>
      </x:c>
      <x:c r="I9" s="86" t="n">
        <x:f>$C9*D9</x:f>
        <x:v>624.8</x:v>
      </x:c>
      <x:c r="J9" s="86" t="n">
        <x:f>$C9*E9</x:f>
        <x:v>724.1999999999999</x:v>
      </x:c>
      <x:c r="K9" s="86" t="n">
        <x:f>$C9*F9</x:f>
        <x:v>596.4</x:v>
      </x:c>
      <x:c r="L9" s="86" t="n">
        <x:f>$C9*G9</x:f>
        <x:v>568</x:v>
      </x:c>
      <x:c r="M9" s="86" t="n">
        <x:f>$C9*H9</x:f>
        <x:v>284</x:v>
      </x:c>
      <x:c r="N9" s="87" t="n">
        <x:f>IF(D9&gt;40,0.5*$C9*(D9-40),0)</x:f>
        <x:v>28.4</x:v>
      </x:c>
      <x:c r="O9" s="87" t="n">
        <x:f>IF(E9&gt;40,0.5*$C9*(E9-40),0)</x:f>
        <x:v>78.1</x:v>
      </x:c>
      <x:c r="P9" s="87" t="n">
        <x:f>IF(F9&gt;40,0.5*$C9*(F9-40),0)</x:f>
        <x:v>14.2</x:v>
      </x:c>
      <x:c r="Q9" s="87" t="n">
        <x:f>IF(G9&gt;40,0.5*$C9*(G9-40),0)</x:f>
        <x:v>0</x:v>
      </x:c>
      <x:c r="R9" s="87" t="n">
        <x:f>IF(H9&gt;40,0.5*$C9*(H9-40),0)</x:f>
        <x:v>0</x:v>
      </x:c>
      <x:c r="S9" s="88" t="n">
        <x:f>I9+N9</x:f>
        <x:v>653.1999999999999</x:v>
      </x:c>
      <x:c r="T9" s="88" t="n">
        <x:f>J9+O9</x:f>
        <x:v>802.3</x:v>
      </x:c>
      <x:c r="U9" s="88" t="n">
        <x:f>K9+P9</x:f>
        <x:v>610.6</x:v>
      </x:c>
      <x:c r="V9" s="88" t="n">
        <x:f>L9+Q9</x:f>
        <x:v>568</x:v>
      </x:c>
      <x:c r="W9" s="88" t="n">
        <x:f>M9+R9</x:f>
        <x:v>284</x:v>
      </x:c>
    </x:row>
    <x:row r="10">
      <x:c r="A10" s="61" t="str">
        <x:v>Velinda</x:v>
      </x:c>
      <x:c r="B10" s="61" t="str">
        <x:v>Nancy</x:v>
      </x:c>
      <x:c r="C10" s="84" t="n">
        <x:v>18</x:v>
      </x:c>
      <x:c r="D10" s="85" t="n">
        <x:v>55</x:v>
      </x:c>
      <x:c r="E10" s="85" t="n">
        <x:v>60</x:v>
      </x:c>
      <x:c r="F10" s="85" t="n">
        <x:v>45</x:v>
      </x:c>
      <x:c r="G10" s="85" t="n">
        <x:v>40</x:v>
      </x:c>
      <x:c r="H10" s="85" t="n">
        <x:v>49</x:v>
      </x:c>
      <x:c r="I10" s="86" t="n">
        <x:f>$C10*D10</x:f>
        <x:v>990</x:v>
      </x:c>
      <x:c r="J10" s="86" t="n">
        <x:f>$C10*E10</x:f>
        <x:v>1080</x:v>
      </x:c>
      <x:c r="K10" s="86" t="n">
        <x:f>$C10*F10</x:f>
        <x:v>810</x:v>
      </x:c>
      <x:c r="L10" s="86" t="n">
        <x:f>$C10*G10</x:f>
        <x:v>720</x:v>
      </x:c>
      <x:c r="M10" s="86" t="n">
        <x:f>$C10*H10</x:f>
        <x:v>882</x:v>
      </x:c>
      <x:c r="N10" s="87" t="n">
        <x:f>IF(D10&gt;40,0.5*$C10*(D10-40),0)</x:f>
        <x:v>135</x:v>
      </x:c>
      <x:c r="O10" s="87" t="n">
        <x:f>IF(E10&gt;40,0.5*$C10*(E10-40),0)</x:f>
        <x:v>180</x:v>
      </x:c>
      <x:c r="P10" s="87" t="n">
        <x:f>IF(F10&gt;40,0.5*$C10*(F10-40),0)</x:f>
        <x:v>45</x:v>
      </x:c>
      <x:c r="Q10" s="87" t="n">
        <x:f>IF(G10&gt;40,0.5*$C10*(G10-40),0)</x:f>
        <x:v>0</x:v>
      </x:c>
      <x:c r="R10" s="87" t="n">
        <x:f>IF(H10&gt;40,0.5*$C10*(H10-40),0)</x:f>
        <x:v>81</x:v>
      </x:c>
      <x:c r="S10" s="88" t="n">
        <x:f>I10+N10</x:f>
        <x:v>1125</x:v>
      </x:c>
      <x:c r="T10" s="88" t="n">
        <x:f>J10+O10</x:f>
        <x:v>1260</x:v>
      </x:c>
      <x:c r="U10" s="88" t="n">
        <x:f>K10+P10</x:f>
        <x:v>855</x:v>
      </x:c>
      <x:c r="V10" s="88" t="n">
        <x:f>L10+Q10</x:f>
        <x:v>720</x:v>
      </x:c>
      <x:c r="W10" s="88" t="n">
        <x:f>M10+R10</x:f>
        <x:v>963</x:v>
      </x:c>
    </x:row>
    <x:row r="11">
      <x:c r="A11" s="61" t="str">
        <x:v>Carnehan</x:v>
      </x:c>
      <x:c r="B11" s="61" t="str">
        <x:v>Karen</x:v>
      </x:c>
      <x:c r="C11" s="84" t="n">
        <x:v>17.5</x:v>
      </x:c>
      <x:c r="D11" s="85" t="n">
        <x:v>33</x:v>
      </x:c>
      <x:c r="E11" s="85" t="n">
        <x:v>22</x:v>
      </x:c>
      <x:c r="F11" s="85" t="n">
        <x:v>54</x:v>
      </x:c>
      <x:c r="G11" s="85" t="n">
        <x:v>40</x:v>
      </x:c>
      <x:c r="H11" s="85" t="n">
        <x:v>20</x:v>
      </x:c>
      <x:c r="I11" s="86" t="n">
        <x:f>$C11*D11</x:f>
        <x:v>577.5</x:v>
      </x:c>
      <x:c r="J11" s="86" t="n">
        <x:f>$C11*E11</x:f>
        <x:v>385</x:v>
      </x:c>
      <x:c r="K11" s="86" t="n">
        <x:f>$C11*F11</x:f>
        <x:v>945</x:v>
      </x:c>
      <x:c r="L11" s="86" t="n">
        <x:f>$C11*G11</x:f>
        <x:v>700</x:v>
      </x:c>
      <x:c r="M11" s="86" t="n">
        <x:f>$C11*H11</x:f>
        <x:v>350</x:v>
      </x:c>
      <x:c r="N11" s="87" t="n">
        <x:f>IF(D11&gt;40,0.5*$C11*(D11-40),0)</x:f>
        <x:v>0</x:v>
      </x:c>
      <x:c r="O11" s="87" t="n">
        <x:f>IF(E11&gt;40,0.5*$C11*(E11-40),0)</x:f>
        <x:v>0</x:v>
      </x:c>
      <x:c r="P11" s="87" t="n">
        <x:f>IF(F11&gt;40,0.5*$C11*(F11-40),0)</x:f>
        <x:v>122.5</x:v>
      </x:c>
      <x:c r="Q11" s="87" t="n">
        <x:f>IF(G11&gt;40,0.5*$C11*(G11-40),0)</x:f>
        <x:v>0</x:v>
      </x:c>
      <x:c r="R11" s="87" t="n">
        <x:f>IF(H11&gt;40,0.5*$C11*(H11-40),0)</x:f>
        <x:v>0</x:v>
      </x:c>
      <x:c r="S11" s="88" t="n">
        <x:f>I11+N11</x:f>
        <x:v>577.5</x:v>
      </x:c>
      <x:c r="T11" s="88" t="n">
        <x:f>J11+O11</x:f>
        <x:v>385</x:v>
      </x:c>
      <x:c r="U11" s="88" t="n">
        <x:f>K11+P11</x:f>
        <x:v>1067.5</x:v>
      </x:c>
      <x:c r="V11" s="88" t="n">
        <x:f>L11+Q11</x:f>
        <x:v>700</x:v>
      </x:c>
      <x:c r="W11" s="88" t="n">
        <x:f>M11+R11</x:f>
        <x:v>350</x:v>
      </x:c>
    </x:row>
    <x:row r="12">
      <x:c r="A12" s="61" t="str">
        <x:v>Westerfield</x:v>
      </x:c>
      <x:c r="B12" s="61" t="str">
        <x:v>Dennis</x:v>
      </x:c>
      <x:c r="C12" s="84" t="n">
        <x:v>14.7</x:v>
      </x:c>
      <x:c r="D12" s="85" t="n">
        <x:v>29</x:v>
      </x:c>
      <x:c r="E12" s="85" t="n">
        <x:v>40</x:v>
      </x:c>
      <x:c r="F12" s="85" t="n">
        <x:v>42</x:v>
      </x:c>
      <x:c r="G12" s="85" t="n">
        <x:v>40</x:v>
      </x:c>
      <x:c r="H12" s="85" t="n">
        <x:v>40</x:v>
      </x:c>
      <x:c r="I12" s="86" t="n">
        <x:f>$C12*D12</x:f>
        <x:v>426.29999999999995</x:v>
      </x:c>
      <x:c r="J12" s="86" t="n">
        <x:f>$C12*E12</x:f>
        <x:v>588</x:v>
      </x:c>
      <x:c r="K12" s="86" t="n">
        <x:f>$C12*F12</x:f>
        <x:v>617.4</x:v>
      </x:c>
      <x:c r="L12" s="86" t="n">
        <x:f>$C12*G12</x:f>
        <x:v>588</x:v>
      </x:c>
      <x:c r="M12" s="86" t="n">
        <x:f>$C12*H12</x:f>
        <x:v>588</x:v>
      </x:c>
      <x:c r="N12" s="87" t="n">
        <x:f>IF(D12&gt;40,0.5*$C12*(D12-40),0)</x:f>
        <x:v>0</x:v>
      </x:c>
      <x:c r="O12" s="87" t="n">
        <x:f>IF(E12&gt;40,0.5*$C12*(E12-40),0)</x:f>
        <x:v>0</x:v>
      </x:c>
      <x:c r="P12" s="87" t="n">
        <x:f>IF(F12&gt;40,0.5*$C12*(F12-40),0)</x:f>
        <x:v>14.7</x:v>
      </x:c>
      <x:c r="Q12" s="87" t="n">
        <x:f>IF(G12&gt;40,0.5*$C12*(G12-40),0)</x:f>
        <x:v>0</x:v>
      </x:c>
      <x:c r="R12" s="87" t="n">
        <x:f>IF(H12&gt;40,0.5*$C12*(H12-40),0)</x:f>
        <x:v>0</x:v>
      </x:c>
      <x:c r="S12" s="88" t="n">
        <x:f>I12+N12</x:f>
        <x:v>426.29999999999995</x:v>
      </x:c>
      <x:c r="T12" s="88" t="n">
        <x:f>J12+O12</x:f>
        <x:v>588</x:v>
      </x:c>
      <x:c r="U12" s="88" t="n">
        <x:f>K12+P12</x:f>
        <x:v>632.1</x:v>
      </x:c>
      <x:c r="V12" s="88" t="n">
        <x:f>L12+Q12</x:f>
        <x:v>588</x:v>
      </x:c>
      <x:c r="W12" s="88" t="n">
        <x:f>M12+R12</x:f>
        <x:v>588</x:v>
      </x:c>
    </x:row>
    <x:row r="13">
      <x:c r="A13" s="61" t="str">
        <x:v>Penfold</x:v>
      </x:c>
      <x:c r="B13" s="61" t="str">
        <x:v>Sandy</x:v>
      </x:c>
      <x:c r="C13" s="84" t="n">
        <x:v>13.9</x:v>
      </x:c>
      <x:c r="D13" s="85" t="n">
        <x:v>40</x:v>
      </x:c>
      <x:c r="E13" s="85" t="n">
        <x:v>40</x:v>
      </x:c>
      <x:c r="F13" s="85" t="n">
        <x:v>42</x:v>
      </x:c>
      <x:c r="G13" s="85" t="n">
        <x:v>40</x:v>
      </x:c>
      <x:c r="H13" s="85" t="n">
        <x:v>40</x:v>
      </x:c>
      <x:c r="I13" s="86" t="n">
        <x:f>$C13*D13</x:f>
        <x:v>556</x:v>
      </x:c>
      <x:c r="J13" s="86" t="n">
        <x:f>$C13*E13</x:f>
        <x:v>556</x:v>
      </x:c>
      <x:c r="K13" s="86" t="n">
        <x:f>$C13*F13</x:f>
        <x:v>583.8000000000001</x:v>
      </x:c>
      <x:c r="L13" s="86" t="n">
        <x:f>$C13*G13</x:f>
        <x:v>556</x:v>
      </x:c>
      <x:c r="M13" s="86" t="n">
        <x:f>$C13*H13</x:f>
        <x:v>556</x:v>
      </x:c>
      <x:c r="N13" s="87" t="n">
        <x:f>IF(D13&gt;40,0.5*$C13*(D13-40),0)</x:f>
        <x:v>0</x:v>
      </x:c>
      <x:c r="O13" s="87" t="n">
        <x:f>IF(E13&gt;40,0.5*$C13*(E13-40),0)</x:f>
        <x:v>0</x:v>
      </x:c>
      <x:c r="P13" s="87" t="n">
        <x:f>IF(F13&gt;40,0.5*$C13*(F13-40),0)</x:f>
        <x:v>13.9</x:v>
      </x:c>
      <x:c r="Q13" s="87" t="n">
        <x:f>IF(G13&gt;40,0.5*$C13*(G13-40),0)</x:f>
        <x:v>0</x:v>
      </x:c>
      <x:c r="R13" s="87" t="n">
        <x:f>IF(H13&gt;40,0.5*$C13*(H13-40),0)</x:f>
        <x:v>0</x:v>
      </x:c>
      <x:c r="S13" s="88" t="n">
        <x:f>I13+N13</x:f>
        <x:v>556</x:v>
      </x:c>
      <x:c r="T13" s="88" t="n">
        <x:f>J13+O13</x:f>
        <x:v>556</x:v>
      </x:c>
      <x:c r="U13" s="88" t="n">
        <x:f>K13+P13</x:f>
        <x:v>597.7</x:v>
      </x:c>
      <x:c r="V13" s="88" t="n">
        <x:f>L13+Q13</x:f>
        <x:v>556</x:v>
      </x:c>
      <x:c r="W13" s="88" t="n">
        <x:f>M13+R13</x:f>
        <x:v>556</x:v>
      </x:c>
    </x:row>
    <x:row r="14">
      <x:c r="A14" s="61" t="str">
        <x:v>Islington</x:v>
      </x:c>
      <x:c r="B14" s="61" t="str">
        <x:v>Linda</x:v>
      </x:c>
      <x:c r="C14" s="84" t="n">
        <x:v>11.2</x:v>
      </x:c>
      <x:c r="D14" s="85" t="n">
        <x:v>40</x:v>
      </x:c>
      <x:c r="E14" s="85" t="n">
        <x:v>40</x:v>
      </x:c>
      <x:c r="F14" s="85" t="n">
        <x:v>42</x:v>
      </x:c>
      <x:c r="G14" s="85" t="n">
        <x:v>39</x:v>
      </x:c>
      <x:c r="H14" s="85" t="n">
        <x:v>40</x:v>
      </x:c>
      <x:c r="I14" s="86" t="n">
        <x:f>$C14*D14</x:f>
        <x:v>448</x:v>
      </x:c>
      <x:c r="J14" s="86" t="n">
        <x:f>$C14*E14</x:f>
        <x:v>448</x:v>
      </x:c>
      <x:c r="K14" s="86" t="n">
        <x:f>$C14*F14</x:f>
        <x:v>470.4</x:v>
      </x:c>
      <x:c r="L14" s="86" t="n">
        <x:f>$C14*G14</x:f>
        <x:v>436.79999999999995</x:v>
      </x:c>
      <x:c r="M14" s="86" t="n">
        <x:f>$C14*H14</x:f>
        <x:v>448</x:v>
      </x:c>
      <x:c r="N14" s="87" t="n">
        <x:f>IF(D14&gt;40,0.5*$C14*(D14-40),0)</x:f>
        <x:v>0</x:v>
      </x:c>
      <x:c r="O14" s="87" t="n">
        <x:f>IF(E14&gt;40,0.5*$C14*(E14-40),0)</x:f>
        <x:v>0</x:v>
      </x:c>
      <x:c r="P14" s="87" t="n">
        <x:f>IF(F14&gt;40,0.5*$C14*(F14-40),0)</x:f>
        <x:v>11.2</x:v>
      </x:c>
      <x:c r="Q14" s="87" t="n">
        <x:f>IF(G14&gt;40,0.5*$C14*(G14-40),0)</x:f>
        <x:v>0</x:v>
      </x:c>
      <x:c r="R14" s="87" t="n">
        <x:f>IF(H14&gt;40,0.5*$C14*(H14-40),0)</x:f>
        <x:v>0</x:v>
      </x:c>
      <x:c r="S14" s="88" t="n">
        <x:f>I14+N14</x:f>
        <x:v>448</x:v>
      </x:c>
      <x:c r="T14" s="88" t="n">
        <x:f>J14+O14</x:f>
        <x:v>448</x:v>
      </x:c>
      <x:c r="U14" s="88" t="n">
        <x:f>K14+P14</x:f>
        <x:v>481.59999999999997</x:v>
      </x:c>
      <x:c r="V14" s="88" t="n">
        <x:f>L14+Q14</x:f>
        <x:v>436.79999999999995</x:v>
      </x:c>
      <x:c r="W14" s="88" t="n">
        <x:f>M14+R14</x:f>
        <x:v>448</x:v>
      </x:c>
    </x:row>
    <x:row r="15">
      <x:c r="A15" s="61" t="str">
        <x:v>Young</x:v>
      </x:c>
      <x:c r="B15" s="61" t="str">
        <x:v>Olivia</x:v>
      </x:c>
      <x:c r="C15" s="84" t="n">
        <x:v>10.1</x:v>
      </x:c>
      <x:c r="D15" s="85" t="n">
        <x:v>40</x:v>
      </x:c>
      <x:c r="E15" s="85" t="n">
        <x:v>40</x:v>
      </x:c>
      <x:c r="F15" s="85" t="n">
        <x:v>41</x:v>
      </x:c>
      <x:c r="G15" s="85" t="n">
        <x:v>42</x:v>
      </x:c>
      <x:c r="H15" s="85" t="n">
        <x:v>40</x:v>
      </x:c>
      <x:c r="I15" s="86" t="n">
        <x:f>$C15*D15</x:f>
        <x:v>404</x:v>
      </x:c>
      <x:c r="J15" s="86" t="n">
        <x:f>$C15*E15</x:f>
        <x:v>404</x:v>
      </x:c>
      <x:c r="K15" s="86" t="n">
        <x:f>$C15*F15</x:f>
        <x:v>414.09999999999997</x:v>
      </x:c>
      <x:c r="L15" s="86" t="n">
        <x:f>$C15*G15</x:f>
        <x:v>424.2</x:v>
      </x:c>
      <x:c r="M15" s="86" t="n">
        <x:f>$C15*H15</x:f>
        <x:v>404</x:v>
      </x:c>
      <x:c r="N15" s="87" t="n">
        <x:f>IF(D15&gt;40,0.5*$C15*(D15-40),0)</x:f>
        <x:v>0</x:v>
      </x:c>
      <x:c r="O15" s="87" t="n">
        <x:f>IF(E15&gt;40,0.5*$C15*(E15-40),0)</x:f>
        <x:v>0</x:v>
      </x:c>
      <x:c r="P15" s="87" t="n">
        <x:f>IF(F15&gt;40,0.5*$C15*(F15-40),0)</x:f>
        <x:v>5.05</x:v>
      </x:c>
      <x:c r="Q15" s="87" t="n">
        <x:f>IF(G15&gt;40,0.5*$C15*(G15-40),0)</x:f>
        <x:v>10.1</x:v>
      </x:c>
      <x:c r="R15" s="87" t="n">
        <x:f>IF(H15&gt;40,0.5*$C15*(H15-40),0)</x:f>
        <x:v>0</x:v>
      </x:c>
      <x:c r="S15" s="88" t="n">
        <x:f>I15+N15</x:f>
        <x:v>404</x:v>
      </x:c>
      <x:c r="T15" s="88" t="n">
        <x:f>J15+O15</x:f>
        <x:v>404</x:v>
      </x:c>
      <x:c r="U15" s="88" t="n">
        <x:f>K15+P15</x:f>
        <x:v>419.15</x:v>
      </x:c>
      <x:c r="V15" s="88" t="n">
        <x:f>L15+Q15</x:f>
        <x:v>434.3</x:v>
      </x:c>
      <x:c r="W15" s="88" t="n">
        <x:f>M15+R15</x:f>
        <x:v>404</x:v>
      </x:c>
    </x:row>
    <x:row r="16">
      <x:c r="A16" s="61" t="str">
        <x:v>Trenton</x:v>
      </x:c>
      <x:c r="B16" s="61" t="str">
        <x:v>Blessing</x:v>
      </x:c>
      <x:c r="C16" s="84" t="n">
        <x:v>9</x:v>
      </x:c>
      <x:c r="D16" s="85" t="n">
        <x:v>42</x:v>
      </x:c>
      <x:c r="E16" s="85" t="n">
        <x:v>42</x:v>
      </x:c>
      <x:c r="F16" s="85" t="n">
        <x:v>39</x:v>
      </x:c>
      <x:c r="G16" s="85" t="n">
        <x:v>42</x:v>
      </x:c>
      <x:c r="H16" s="85" t="n">
        <x:v>40</x:v>
      </x:c>
      <x:c r="I16" s="86" t="n">
        <x:f>$C16*D16</x:f>
        <x:v>378</x:v>
      </x:c>
      <x:c r="J16" s="86" t="n">
        <x:f>$C16*E16</x:f>
        <x:v>378</x:v>
      </x:c>
      <x:c r="K16" s="86" t="n">
        <x:f>$C16*F16</x:f>
        <x:v>351</x:v>
      </x:c>
      <x:c r="L16" s="86" t="n">
        <x:f>$C16*G16</x:f>
        <x:v>378</x:v>
      </x:c>
      <x:c r="M16" s="86" t="n">
        <x:f>$C16*H16</x:f>
        <x:v>360</x:v>
      </x:c>
      <x:c r="N16" s="87" t="n">
        <x:f>IF(D16&gt;40,0.5*$C16*(D16-40),0)</x:f>
        <x:v>9</x:v>
      </x:c>
      <x:c r="O16" s="87" t="n">
        <x:f>IF(E16&gt;40,0.5*$C16*(E16-40),0)</x:f>
        <x:v>9</x:v>
      </x:c>
      <x:c r="P16" s="87" t="n">
        <x:f>IF(F16&gt;40,0.5*$C16*(F16-40),0)</x:f>
        <x:v>0</x:v>
      </x:c>
      <x:c r="Q16" s="87" t="n">
        <x:f>IF(G16&gt;40,0.5*$C16*(G16-40),0)</x:f>
        <x:v>9</x:v>
      </x:c>
      <x:c r="R16" s="87" t="n">
        <x:f>IF(H16&gt;40,0.5*$C16*(H16-40),0)</x:f>
        <x:v>0</x:v>
      </x:c>
      <x:c r="S16" s="88" t="n">
        <x:f>I16+N16</x:f>
        <x:v>387</x:v>
      </x:c>
      <x:c r="T16" s="88" t="n">
        <x:f>J16+O16</x:f>
        <x:v>387</x:v>
      </x:c>
      <x:c r="U16" s="88" t="n">
        <x:f>K16+P16</x:f>
        <x:v>351</x:v>
      </x:c>
      <x:c r="V16" s="88" t="n">
        <x:f>L16+Q16</x:f>
        <x:v>387</x:v>
      </x:c>
      <x:c r="W16" s="88" t="n">
        <x:f>M16+R16</x:f>
        <x:v>360</x:v>
      </x:c>
    </x:row>
    <x:row r="17">
      <x:c r="A17" s="61" t="str">
        <x:v>Engleheart</x:v>
      </x:c>
      <x:c r="B17" s="61" t="str">
        <x:v>Chandra</x:v>
      </x:c>
      <x:c r="C17" s="84" t="n">
        <x:v>8.44</x:v>
      </x:c>
      <x:c r="D17" s="85" t="n">
        <x:v>40</x:v>
      </x:c>
      <x:c r="E17" s="85" t="n">
        <x:v>43</x:v>
      </x:c>
      <x:c r="F17" s="85" t="n">
        <x:v>39</x:v>
      </x:c>
      <x:c r="G17" s="85" t="n">
        <x:v>41</x:v>
      </x:c>
      <x:c r="H17" s="85" t="n">
        <x:v>40</x:v>
      </x:c>
      <x:c r="I17" s="86" t="n">
        <x:f>$C17*D17</x:f>
        <x:v>337.59999999999997</x:v>
      </x:c>
      <x:c r="J17" s="86" t="n">
        <x:f>$C17*E17</x:f>
        <x:v>362.91999999999996</x:v>
      </x:c>
      <x:c r="K17" s="86" t="n">
        <x:f>$C17*F17</x:f>
        <x:v>329.15999999999997</x:v>
      </x:c>
      <x:c r="L17" s="86" t="n">
        <x:f>$C17*G17</x:f>
        <x:v>346.03999999999996</x:v>
      </x:c>
      <x:c r="M17" s="86" t="n">
        <x:f>$C17*H17</x:f>
        <x:v>337.59999999999997</x:v>
      </x:c>
      <x:c r="N17" s="87" t="n">
        <x:f>IF(D17&gt;40,0.5*$C17*(D17-40),0)</x:f>
        <x:v>0</x:v>
      </x:c>
      <x:c r="O17" s="87" t="n">
        <x:f>IF(E17&gt;40,0.5*$C17*(E17-40),0)</x:f>
        <x:v>12.66</x:v>
      </x:c>
      <x:c r="P17" s="87" t="n">
        <x:f>IF(F17&gt;40,0.5*$C17*(F17-40),0)</x:f>
        <x:v>0</x:v>
      </x:c>
      <x:c r="Q17" s="87" t="n">
        <x:f>IF(G17&gt;40,0.5*$C17*(G17-40),0)</x:f>
        <x:v>4.22</x:v>
      </x:c>
      <x:c r="R17" s="87" t="n">
        <x:f>IF(H17&gt;40,0.5*$C17*(H17-40),0)</x:f>
        <x:v>0</x:v>
      </x:c>
      <x:c r="S17" s="88" t="n">
        <x:f>I17+N17</x:f>
        <x:v>337.59999999999997</x:v>
      </x:c>
      <x:c r="T17" s="88" t="n">
        <x:f>J17+O17</x:f>
        <x:v>375.58</x:v>
      </x:c>
      <x:c r="U17" s="88" t="n">
        <x:f>K17+P17</x:f>
        <x:v>329.15999999999997</x:v>
      </x:c>
      <x:c r="V17" s="88" t="n">
        <x:f>L17+Q17</x:f>
        <x:v>350.26</x:v>
      </x:c>
      <x:c r="W17" s="88" t="n">
        <x:f>M17+R17</x:f>
        <x:v>337.59999999999997</x:v>
      </x:c>
    </x:row>
    <x:row r="18">
      <x:c r="A18" s="61" t="str">
        <x:v>Norman</x:v>
      </x:c>
      <x:c r="B18" s="61" t="str">
        <x:v>Bill</x:v>
      </x:c>
      <x:c r="C18" s="84" t="n">
        <x:v>14.2</x:v>
      </x:c>
      <x:c r="D18" s="85" t="n">
        <x:v>40</x:v>
      </x:c>
      <x:c r="E18" s="85" t="n">
        <x:v>42</x:v>
      </x:c>
      <x:c r="F18" s="85" t="n">
        <x:v>39</x:v>
      </x:c>
      <x:c r="G18" s="85" t="n">
        <x:v>40</x:v>
      </x:c>
      <x:c r="H18" s="85" t="n">
        <x:v>40</x:v>
      </x:c>
      <x:c r="I18" s="86" t="n">
        <x:f>$C18*D18</x:f>
        <x:v>568</x:v>
      </x:c>
      <x:c r="J18" s="86" t="n">
        <x:f>$C18*E18</x:f>
        <x:v>596.4</x:v>
      </x:c>
      <x:c r="K18" s="86" t="n">
        <x:f>$C18*F18</x:f>
        <x:v>553.8</x:v>
      </x:c>
      <x:c r="L18" s="86" t="n">
        <x:f>$C18*G18</x:f>
        <x:v>568</x:v>
      </x:c>
      <x:c r="M18" s="86" t="n">
        <x:f>$C18*H18</x:f>
        <x:v>568</x:v>
      </x:c>
      <x:c r="N18" s="87" t="n">
        <x:f>IF(D18&gt;40,0.5*$C18*(D18-40),0)</x:f>
        <x:v>0</x:v>
      </x:c>
      <x:c r="O18" s="87" t="n">
        <x:f>IF(E18&gt;40,0.5*$C18*(E18-40),0)</x:f>
        <x:v>14.2</x:v>
      </x:c>
      <x:c r="P18" s="87" t="n">
        <x:f>IF(F18&gt;40,0.5*$C18*(F18-40),0)</x:f>
        <x:v>0</x:v>
      </x:c>
      <x:c r="Q18" s="87" t="n">
        <x:f>IF(G18&gt;40,0.5*$C18*(G18-40),0)</x:f>
        <x:v>0</x:v>
      </x:c>
      <x:c r="R18" s="87" t="n">
        <x:f>IF(H18&gt;40,0.5*$C18*(H18-40),0)</x:f>
        <x:v>0</x:v>
      </x:c>
      <x:c r="S18" s="88" t="n">
        <x:f>I18+N18</x:f>
        <x:v>568</x:v>
      </x:c>
      <x:c r="T18" s="88" t="n">
        <x:f>J18+O18</x:f>
        <x:v>610.6</x:v>
      </x:c>
      <x:c r="U18" s="88" t="n">
        <x:f>K18+P18</x:f>
        <x:v>553.8</x:v>
      </x:c>
      <x:c r="V18" s="88" t="n">
        <x:f>L18+Q18</x:f>
        <x:v>568</x:v>
      </x:c>
      <x:c r="W18" s="88" t="n">
        <x:f>M18+R18</x:f>
        <x:v>568</x:v>
      </x:c>
    </x:row>
    <x:row r="19">
      <x:c r="A19" s="61" t="str">
        <x:v>Mann</x:v>
      </x:c>
      <x:c r="B19" s="61" t="str">
        <x:v>Trent</x:v>
      </x:c>
      <x:c r="C19" s="84" t="n">
        <x:v>45</x:v>
      </x:c>
      <x:c r="D19" s="85" t="n">
        <x:v>41</x:v>
      </x:c>
      <x:c r="E19" s="85" t="n">
        <x:v>42</x:v>
      </x:c>
      <x:c r="F19" s="85" t="n">
        <x:v>40</x:v>
      </x:c>
      <x:c r="G19" s="85" t="n">
        <x:v>28</x:v>
      </x:c>
      <x:c r="H19" s="85" t="n">
        <x:v>40</x:v>
      </x:c>
      <x:c r="I19" s="86" t="n">
        <x:f>$C19*D19</x:f>
        <x:v>1845</x:v>
      </x:c>
      <x:c r="J19" s="86" t="n">
        <x:f>$C19*E19</x:f>
        <x:v>1890</x:v>
      </x:c>
      <x:c r="K19" s="86" t="n">
        <x:f>$C19*F19</x:f>
        <x:v>1800</x:v>
      </x:c>
      <x:c r="L19" s="86" t="n">
        <x:f>$C19*G19</x:f>
        <x:v>1260</x:v>
      </x:c>
      <x:c r="M19" s="86" t="n">
        <x:f>$C19*H19</x:f>
        <x:v>1800</x:v>
      </x:c>
      <x:c r="N19" s="87" t="n">
        <x:f>IF(D19&gt;40,0.5*$C19*(D19-40),0)</x:f>
        <x:v>22.5</x:v>
      </x:c>
      <x:c r="O19" s="87" t="n">
        <x:f>IF(E19&gt;40,0.5*$C19*(E19-40),0)</x:f>
        <x:v>45</x:v>
      </x:c>
      <x:c r="P19" s="87" t="n">
        <x:f>IF(F19&gt;40,0.5*$C19*(F19-40),0)</x:f>
        <x:v>0</x:v>
      </x:c>
      <x:c r="Q19" s="87" t="n">
        <x:f>IF(G19&gt;40,0.5*$C19*(G19-40),0)</x:f>
        <x:v>0</x:v>
      </x:c>
      <x:c r="R19" s="87" t="n">
        <x:f>IF(H19&gt;40,0.5*$C19*(H19-40),0)</x:f>
        <x:v>0</x:v>
      </x:c>
      <x:c r="S19" s="88" t="n">
        <x:f>I19+N19</x:f>
        <x:v>1867.5</x:v>
      </x:c>
      <x:c r="T19" s="88" t="n">
        <x:f>J19+O19</x:f>
        <x:v>1935</x:v>
      </x:c>
      <x:c r="U19" s="88" t="n">
        <x:f>K19+P19</x:f>
        <x:v>1800</x:v>
      </x:c>
      <x:c r="V19" s="88" t="n">
        <x:f>L19+Q19</x:f>
        <x:v>1260</x:v>
      </x:c>
      <x:c r="W19" s="88" t="n">
        <x:f>M19+R19</x:f>
        <x:v>1800</x:v>
      </x:c>
    </x:row>
    <x:row r="20">
      <x:c r="A20" s="61" t="str">
        <x:v>Underhill</x:v>
      </x:c>
      <x:c r="B20" s="61" t="str">
        <x:v>Genesis</x:v>
      </x:c>
      <x:c r="C20" s="84" t="n">
        <x:v>30</x:v>
      </x:c>
      <x:c r="D20" s="85" t="n">
        <x:v>39</x:v>
      </x:c>
      <x:c r="E20" s="85" t="n">
        <x:v>80</x:v>
      </x:c>
      <x:c r="F20" s="85" t="n">
        <x:v>40</x:v>
      </x:c>
      <x:c r="G20" s="85" t="n">
        <x:v>20</x:v>
      </x:c>
      <x:c r="H20" s="85" t="n">
        <x:v>40</x:v>
      </x:c>
      <x:c r="I20" s="86" t="n">
        <x:f>$C20*D20</x:f>
        <x:v>1170</x:v>
      </x:c>
      <x:c r="J20" s="86" t="n">
        <x:f>$C20*E20</x:f>
        <x:v>2400</x:v>
      </x:c>
      <x:c r="K20" s="86" t="n">
        <x:f>$C20*F20</x:f>
        <x:v>1200</x:v>
      </x:c>
      <x:c r="L20" s="86" t="n">
        <x:f>$C20*G20</x:f>
        <x:v>600</x:v>
      </x:c>
      <x:c r="M20" s="86" t="n">
        <x:f>$C20*H20</x:f>
        <x:v>1200</x:v>
      </x:c>
      <x:c r="N20" s="87" t="n">
        <x:f>IF(D20&gt;40,0.5*$C20*(D20-40),0)</x:f>
        <x:v>0</x:v>
      </x:c>
      <x:c r="O20" s="87" t="n">
        <x:f>IF(E20&gt;40,0.5*$C20*(E20-40),0)</x:f>
        <x:v>600</x:v>
      </x:c>
      <x:c r="P20" s="87" t="n">
        <x:f>IF(F20&gt;40,0.5*$C20*(F20-40),0)</x:f>
        <x:v>0</x:v>
      </x:c>
      <x:c r="Q20" s="87" t="n">
        <x:f>IF(G20&gt;40,0.5*$C20*(G20-40),0)</x:f>
        <x:v>0</x:v>
      </x:c>
      <x:c r="R20" s="87" t="n">
        <x:f>IF(H20&gt;40,0.5*$C20*(H20-40),0)</x:f>
        <x:v>0</x:v>
      </x:c>
      <x:c r="S20" s="88" t="n">
        <x:f>I20+N20</x:f>
        <x:v>1170</x:v>
      </x:c>
      <x:c r="T20" s="88" t="n">
        <x:f>J20+O20</x:f>
        <x:v>3000</x:v>
      </x:c>
      <x:c r="U20" s="88" t="n">
        <x:f>K20+P20</x:f>
        <x:v>1200</x:v>
      </x:c>
      <x:c r="V20" s="88" t="n">
        <x:f>L20+Q20</x:f>
        <x:v>600</x:v>
      </x:c>
      <x:c r="W20" s="88" t="n">
        <x:f>M20+R20</x:f>
        <x:v>1200</x:v>
      </x:c>
    </x:row>
    <x:row r="21">
      <x:c r="A21" s="61"/>
      <x:c r="B21" s="61"/>
      <x:c r="C21" s="89"/>
      <x:c r="D21" s="85"/>
      <x:c r="E21" s="85"/>
      <x:c r="F21" s="85"/>
      <x:c r="G21" s="85"/>
      <x:c r="H21" s="85"/>
      <x:c r="I21" s="86"/>
      <x:c r="J21" s="86"/>
      <x:c r="K21" s="86"/>
      <x:c r="L21" s="86"/>
      <x:c r="M21" s="86"/>
      <x:c r="N21" s="87"/>
      <x:c r="O21" s="87"/>
      <x:c r="P21" s="87"/>
      <x:c r="Q21" s="87"/>
      <x:c r="R21" s="87"/>
      <x:c r="S21" s="88"/>
      <x:c r="T21" s="88"/>
      <x:c r="U21" s="88"/>
      <x:c r="V21" s="88"/>
      <x:c r="W21" s="88"/>
    </x:row>
    <x:row r="22">
      <x:c r="A22" s="61" t="str">
        <x:v>Max</x:v>
      </x:c>
      <x:c r="B22" s="61"/>
      <x:c r="C22" s="89"/>
      <x:c r="D22" s="85" t="n">
        <x:f>MAX(D4:D20)</x:f>
        <x:v>55</x:v>
      </x:c>
      <x:c r="E22" s="85" t="n">
        <x:f>MAX(E4:E20)</x:f>
        <x:v>80</x:v>
      </x:c>
      <x:c r="F22" s="85" t="n">
        <x:f>MAX(F4:F20)</x:f>
        <x:v>54</x:v>
      </x:c>
      <x:c r="G22" s="85" t="n">
        <x:f>MAX(G4:G20)</x:f>
        <x:v>42</x:v>
      </x:c>
      <x:c r="H22" s="85" t="n">
        <x:f>MAX(H4:H20)</x:f>
        <x:v>49</x:v>
      </x:c>
      <x:c r="I22" s="86" t="n">
        <x:f>MAX(I4:I20)</x:f>
        <x:v>1845</x:v>
      </x:c>
      <x:c r="J22" s="86" t="n">
        <x:f>MAX(J4:J20)</x:f>
        <x:v>2400</x:v>
      </x:c>
      <x:c r="K22" s="86" t="n">
        <x:f>MAX(K4:K20)</x:f>
        <x:v>1800</x:v>
      </x:c>
      <x:c r="L22" s="86" t="n">
        <x:f>MAX(L4:L20)</x:f>
        <x:v>1260</x:v>
      </x:c>
      <x:c r="M22" s="86" t="n">
        <x:f>MAX(M4:M20)</x:f>
        <x:v>1800</x:v>
      </x:c>
      <x:c r="N22" s="87" t="n">
        <x:f>MAX(N4:N20)</x:f>
        <x:v>135</x:v>
      </x:c>
      <x:c r="O22" s="87" t="n">
        <x:f>MAX(O4:O20)</x:f>
        <x:v>600</x:v>
      </x:c>
      <x:c r="P22" s="87" t="n">
        <x:f>MAX(P4:P20)</x:f>
        <x:v>122.5</x:v>
      </x:c>
      <x:c r="Q22" s="87" t="n">
        <x:f>MAX(Q4:Q20)</x:f>
        <x:v>10.1</x:v>
      </x:c>
      <x:c r="R22" s="87" t="n">
        <x:f>MAX(R4:R20)</x:f>
        <x:v>81</x:v>
      </x:c>
      <x:c r="S22" s="88" t="n">
        <x:f>MAX(S4:S20)</x:f>
        <x:v>1867.5</x:v>
      </x:c>
      <x:c r="T22" s="88" t="n">
        <x:f>MAX(T4:T20)</x:f>
        <x:v>3000</x:v>
      </x:c>
      <x:c r="U22" s="88" t="n">
        <x:f>MAX(U4:U20)</x:f>
        <x:v>1800</x:v>
      </x:c>
      <x:c r="V22" s="88" t="n">
        <x:f>MAX(V4:V20)</x:f>
        <x:v>1260</x:v>
      </x:c>
      <x:c r="W22" s="88" t="n">
        <x:f>MAX(W4:W20)</x:f>
        <x:v>1800</x:v>
      </x:c>
    </x:row>
    <x:row r="23">
      <x:c r="A23" s="61" t="str">
        <x:v>Min</x:v>
      </x:c>
      <x:c r="B23" s="61"/>
      <x:c r="C23" s="89"/>
      <x:c r="D23" s="85" t="n">
        <x:f>MIN(D4:D20)</x:f>
        <x:v>29</x:v>
      </x:c>
      <x:c r="E23" s="85" t="n">
        <x:f>MIN(E4:E20)</x:f>
        <x:v>22</x:v>
      </x:c>
      <x:c r="F23" s="85" t="n">
        <x:f>MIN(F4:F20)</x:f>
        <x:v>33</x:v>
      </x:c>
      <x:c r="G23" s="85" t="n">
        <x:f>MIN(G4:G20)</x:f>
        <x:v>20</x:v>
      </x:c>
      <x:c r="H23" s="85" t="n">
        <x:f>MIN(H4:H20)</x:f>
        <x:v>18</x:v>
      </x:c>
      <x:c r="I23" s="86" t="n">
        <x:f>MIN(I4:I20)</x:f>
        <x:v>269.1</x:v>
      </x:c>
      <x:c r="J23" s="86" t="n">
        <x:f>MIN(J4:J20)</x:f>
        <x:v>358.8</x:v>
      </x:c>
      <x:c r="K23" s="86" t="n">
        <x:f>MIN(K4:K20)</x:f>
        <x:v>289.8</x:v>
      </x:c>
      <x:c r="L23" s="86" t="n">
        <x:f>MIN(L4:L20)</x:f>
        <x:v>276</x:v>
      </x:c>
      <x:c r="M23" s="86" t="n">
        <x:f>MIN(M4:M20)</x:f>
        <x:v>276</x:v>
      </x:c>
      <x:c r="N23" s="87" t="n">
        <x:f>MIN(N4:N20)</x:f>
        <x:v>0</x:v>
      </x:c>
      <x:c r="O23" s="87" t="n">
        <x:f>MIN(O4:O20)</x:f>
        <x:v>0</x:v>
      </x:c>
      <x:c r="P23" s="87" t="n">
        <x:f>MIN(P4:P20)</x:f>
        <x:v>0</x:v>
      </x:c>
      <x:c r="Q23" s="87" t="n">
        <x:f>MIN(Q4:Q20)</x:f>
        <x:v>0</x:v>
      </x:c>
      <x:c r="R23" s="87" t="n">
        <x:f>MIN(R4:R20)</x:f>
        <x:v>0</x:v>
      </x:c>
      <x:c r="S23" s="88" t="n">
        <x:f>MIN(S4:S20)</x:f>
        <x:v>269.1</x:v>
      </x:c>
      <x:c r="T23" s="88" t="n">
        <x:f>MIN(T4:T20)</x:f>
        <x:v>375.58</x:v>
      </x:c>
      <x:c r="U23" s="88" t="n">
        <x:f>MIN(U4:U20)</x:f>
        <x:v>296.7</x:v>
      </x:c>
      <x:c r="V23" s="88" t="n">
        <x:f>MIN(V4:V20)</x:f>
        <x:v>276</x:v>
      </x:c>
      <x:c r="W23" s="88" t="n">
        <x:f>MIN(W4:W20)</x:f>
        <x:v>276</x:v>
      </x:c>
    </x:row>
    <x:row r="24">
      <x:c r="A24" s="61" t="str">
        <x:v>Average</x:v>
      </x:c>
      <x:c r="B24" s="61"/>
      <x:c r="C24" s="89"/>
      <x:c r="D24" s="85" t="n">
        <x:f>AVERAGE(D4:D20)</x:f>
        <x:v>40.88235294117647</x:v>
      </x:c>
      <x:c r="E24" s="85" t="n">
        <x:f>AVERAGE(E4:E20)</x:f>
        <x:v>45.11764705882353</x:v>
      </x:c>
      <x:c r="F24" s="85" t="n">
        <x:f>AVERAGE(F4:F20)</x:f>
        <x:v>42.11764705882353</x:v>
      </x:c>
      <x:c r="G24" s="85" t="n">
        <x:f>AVERAGE(G4:G20)</x:f>
        <x:v>36.411764705882355</x:v>
      </x:c>
      <x:c r="H24" s="85" t="n">
        <x:f>AVERAGE(H4:H20)</x:f>
        <x:v>37.411764705882355</x:v>
      </x:c>
      <x:c r="I24" s="86" t="n">
        <x:f>AVERAGE(I4:I20)</x:f>
        <x:v>678.364705882353</x:v>
      </x:c>
      <x:c r="J24" s="86" t="n">
        <x:f>AVERAGE(J4:J20)</x:f>
        <x:v>769.8894117647059</x:v>
      </x:c>
      <x:c r="K24" s="86" t="n">
        <x:f>AVERAGE(K4:K20)</x:f>
        <x:v>692.1741176470589</x:v>
      </x:c>
      <x:c r="L24" s="86" t="n">
        <x:f>AVERAGE(L4:L20)</x:f>
        <x:v>555.0670588235294</x:v>
      </x:c>
      <x:c r="M24" s="86" t="n">
        <x:f>AVERAGE(M4:M20)</x:f>
        <x:v>609.864705882353</x:v>
      </x:c>
      <x:c r="N24" s="87" t="n">
        <x:f>AVERAGE(N4:N20)</x:f>
        <x:v>18.93235294117647</x:v>
      </x:c>
      <x:c r="O24" s="87" t="n">
        <x:f>AVERAGE(O4:O20)</x:f>
        <x:v>64.51529411764706</x:v>
      </x:c>
      <x:c r="P24" s="87" t="n">
        <x:f>AVERAGE(P4:P20)</x:f>
        <x:v>21.873529411764704</x:v>
      </x:c>
      <x:c r="Q24" s="87" t="n">
        <x:f>AVERAGE(Q4:Q20)</x:f>
        <x:v>1.371764705882353</x:v>
      </x:c>
      <x:c r="R24" s="87" t="n">
        <x:f>AVERAGE(R4:R20)</x:f>
        <x:v>8.74705882352941</x:v>
      </x:c>
      <x:c r="S24" s="88" t="n">
        <x:f>AVERAGE(S4:S20)</x:f>
        <x:v>697.2970588235294</x:v>
      </x:c>
      <x:c r="T24" s="88" t="n">
        <x:f>AVERAGE(T4:T20)</x:f>
        <x:v>834.404705882353</x:v>
      </x:c>
      <x:c r="U24" s="88" t="n">
        <x:f>AVERAGE(U4:U20)</x:f>
        <x:v>714.0476470588235</x:v>
      </x:c>
      <x:c r="V24" s="88" t="n">
        <x:f>AVERAGE(V4:V20)</x:f>
        <x:v>556.4388235294118</x:v>
      </x:c>
      <x:c r="W24" s="88" t="n">
        <x:f>AVERAGE(W4:W20)</x:f>
        <x:v>618.6117647058825</x:v>
      </x:c>
    </x:row>
    <x:row r="25">
      <x:c r="A25" s="61" t="str">
        <x:v>Total</x:v>
      </x:c>
      <x:c r="B25" s="61"/>
      <x:c r="C25" s="89"/>
      <x:c r="D25" s="85" t="n">
        <x:f>SUM(D4:D20)</x:f>
        <x:v>695</x:v>
      </x:c>
      <x:c r="E25" s="85" t="n">
        <x:f>SUM(E4:E20)</x:f>
        <x:v>767</x:v>
      </x:c>
      <x:c r="F25" s="85" t="n">
        <x:f>SUM(F4:F20)</x:f>
        <x:v>716</x:v>
      </x:c>
      <x:c r="G25" s="85" t="n">
        <x:f>SUM(G4:G20)</x:f>
        <x:v>619</x:v>
      </x:c>
      <x:c r="H25" s="85" t="n">
        <x:f>SUM(H4:H20)</x:f>
        <x:v>636</x:v>
      </x:c>
      <x:c r="I25" s="86" t="n">
        <x:f>SUM(I4:I20)</x:f>
        <x:v>11532.2</x:v>
      </x:c>
      <x:c r="J25" s="86" t="n">
        <x:f>SUM(J4:J20)</x:f>
        <x:v>13088.119999999999</x:v>
      </x:c>
      <x:c r="K25" s="86" t="n">
        <x:f>SUM(K4:K20)</x:f>
        <x:v>11766.960000000001</x:v>
      </x:c>
      <x:c r="L25" s="86" t="n">
        <x:f>SUM(L4:L20)</x:f>
        <x:v>9436.14</x:v>
      </x:c>
      <x:c r="M25" s="86" t="n">
        <x:f>SUM(M4:M20)</x:f>
        <x:v>10367.7</x:v>
      </x:c>
      <x:c r="N25" s="87" t="n">
        <x:f>SUM(N4:N20)</x:f>
        <x:v>321.85</x:v>
      </x:c>
      <x:c r="O25" s="87" t="n">
        <x:f>SUM(O4:O20)</x:f>
        <x:v>1096.76</x:v>
      </x:c>
      <x:c r="P25" s="87" t="n">
        <x:f>SUM(P4:P20)</x:f>
        <x:v>371.84999999999997</x:v>
      </x:c>
      <x:c r="Q25" s="87" t="n">
        <x:f>SUM(Q4:Q20)</x:f>
        <x:v>23.32</x:v>
      </x:c>
      <x:c r="R25" s="87" t="n">
        <x:f>SUM(R4:R20)</x:f>
        <x:v>148.7</x:v>
      </x:c>
      <x:c r="S25" s="88" t="n">
        <x:f>SUM(S4:S20)</x:f>
        <x:v>11854.05</x:v>
      </x:c>
      <x:c r="T25" s="88" t="n">
        <x:f>SUM(T4:T20)</x:f>
        <x:v>14184.880000000001</x:v>
      </x:c>
      <x:c r="U25" s="88" t="n">
        <x:f>SUM(U4:U20)</x:f>
        <x:v>12138.81</x:v>
      </x:c>
      <x:c r="V25" s="88" t="n">
        <x:f>SUM(V4:V20)</x:f>
        <x:v>9459.460000000001</x:v>
      </x:c>
      <x:c r="W25" s="88" t="n">
        <x:f>SUM(W4:W20)</x:f>
        <x:v>10516.400000000001</x:v>
      </x:c>
    </x:row>
  </x:sheetData>
  <x:mergeCells>
    <x:mergeCell ref="D2:H2"/>
    <x:mergeCell ref="I2:M2"/>
    <x:mergeCell ref="N2:R2"/>
    <x:mergeCell ref="S2:W2"/>
  </x:mergeCells>
  <x:pageMargins left="0.7" right="0.7" top="0.75" bottom="0.75" header="0.3" footer="0.3"/>
</x:worksheet>
</file>