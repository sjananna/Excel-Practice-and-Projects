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C2FA5F35-73C3-4ECC-951C-BBCAF9A7A1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1" l="1"/>
  <c r="F25" i="1"/>
  <c r="E25" i="1"/>
  <c r="G24" i="1"/>
  <c r="F24" i="1"/>
  <c r="E24" i="1"/>
  <c r="G23" i="1"/>
  <c r="F23" i="1"/>
  <c r="E23" i="1"/>
  <c r="D25" i="1"/>
  <c r="D24" i="1"/>
  <c r="D23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I5" i="1"/>
  <c r="N5" i="1" s="1"/>
  <c r="I6" i="1"/>
  <c r="N6" i="1" s="1"/>
  <c r="I7" i="1"/>
  <c r="N7" i="1" s="1"/>
  <c r="I8" i="1"/>
  <c r="N8" i="1" s="1"/>
  <c r="I9" i="1"/>
  <c r="N9" i="1" s="1"/>
  <c r="I10" i="1"/>
  <c r="N10" i="1" s="1"/>
  <c r="I11" i="1"/>
  <c r="N11" i="1" s="1"/>
  <c r="I12" i="1"/>
  <c r="N12" i="1" s="1"/>
  <c r="I13" i="1"/>
  <c r="N13" i="1" s="1"/>
  <c r="I14" i="1"/>
  <c r="N14" i="1" s="1"/>
  <c r="I15" i="1"/>
  <c r="N15" i="1" s="1"/>
  <c r="I16" i="1"/>
  <c r="N16" i="1" s="1"/>
  <c r="I17" i="1"/>
  <c r="N17" i="1" s="1"/>
  <c r="I18" i="1"/>
  <c r="N18" i="1" s="1"/>
  <c r="I19" i="1"/>
  <c r="N19" i="1" s="1"/>
  <c r="I20" i="1"/>
  <c r="N20" i="1" s="1"/>
  <c r="I4" i="1"/>
  <c r="I25" i="1" l="1"/>
  <c r="I24" i="1"/>
  <c r="I23" i="1"/>
  <c r="N4" i="1"/>
  <c r="J25" i="1"/>
  <c r="J24" i="1"/>
  <c r="J23" i="1"/>
  <c r="K25" i="1"/>
  <c r="K24" i="1"/>
  <c r="K23" i="1"/>
  <c r="L25" i="1"/>
  <c r="L24" i="1"/>
  <c r="L23" i="1"/>
</calcChain>
</file>

<file path=xl/sharedStrings.xml><?xml version="1.0" encoding="utf-8"?>
<sst xmlns="http://schemas.openxmlformats.org/spreadsheetml/2006/main" count="51" uniqueCount="48">
  <si>
    <t>Grade Book</t>
  </si>
  <si>
    <t>Safety Test</t>
  </si>
  <si>
    <t>Company philosophy Test</t>
  </si>
  <si>
    <t>inanacial Skills test</t>
  </si>
  <si>
    <t>Drug Test</t>
  </si>
  <si>
    <t>Finanacial Skills Test</t>
  </si>
  <si>
    <t>Fire Emplyees Yes\No</t>
  </si>
  <si>
    <t>Graphs</t>
  </si>
  <si>
    <t>Possible Points</t>
  </si>
  <si>
    <t>Last Name</t>
  </si>
  <si>
    <t>First Name</t>
  </si>
  <si>
    <t>Kern</t>
  </si>
  <si>
    <t>Jon</t>
  </si>
  <si>
    <t>Howard</t>
  </si>
  <si>
    <t>Glenda</t>
  </si>
  <si>
    <t>O'Donnald</t>
  </si>
  <si>
    <t>Ron</t>
  </si>
  <si>
    <t>Hernandez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</si>
  <si>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</si>
  <si>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</si>
  <si>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</si>
  <si>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</si>
  <si>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</si>
  <si>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</si>
  <si>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</si>
  <si>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</si>
  <si>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</si>
  <si>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</si>
  <si>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</si>
  <si>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</si>
  <si>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</si>
  <si>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</si>
  <si>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</si>
  <si>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</si>
  <si>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</si>
  <si>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</si>
  <si>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</si>
  <si>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</si>
  <si>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</si>
  <si>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</si>
  <si>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</si>
  <si>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</si>
  <si>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</si>
  <si>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</si>
  <si>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</si>
  <si>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Maximun</t>
  </si>
  <si>
    <t>Minimum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</si>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</sst>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9" fontId="0" fillId="0" borderId="0" xfId="0" applyNumberFormat="1"/>
    <xf numFmtId="164" fontId="0" fillId="3" borderId="0" xfId="0" applyNumberFormat="1" applyFill="1"/>
    <xf numFmtId="0" fontId="0" fillId="3" borderId="0" xfId="0" applyFill="1"/>
    <xf numFmtId="9" fontId="0" fillId="3" borderId="0" xfId="0" applyNumberFormat="1" applyFill="1"/>
    <xf numFmtId="0" fontId="1" fillId="6" borderId="0" xfId="0" applyFont="1" applyFill="1" applyAlignment="1">
      <alignment textRotation="90"/>
    </xf>
    <xf numFmtId="0" fontId="2" fillId="5" borderId="0" xfId="0" applyFont="1" applyFill="1" applyAlignment="1">
      <alignment textRotation="90"/>
    </xf>
    <xf numFmtId="0" fontId="2" fillId="4" borderId="0" xfId="0" applyFont="1" applyFill="1" applyAlignment="1">
      <alignment textRotation="90"/>
    </xf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3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solidFill>
          <a:srgbClr val="FFFFFF"/>
        </a:solidFill>
        <a:ln>
          <a:solidFill>
            <a:srgbClr val="305496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Sheet1!I4:I20</c:f>
              <c:numCache>
                <c:formatCode>0%</c:formatCode>
                <c:ptCount val="17"/>
                <c:pt idx="0">
                  <c:v>1</c:v>
                </c:pt>
                <c:pt idx="1">
                  <c:v>0.6</c:v>
                </c:pt>
                <c:pt idx="2">
                  <c:v>1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  <c:pt idx="6">
                  <c:v>0.8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0.6</c:v>
                </c:pt>
                <c:pt idx="11">
                  <c:v>0.4</c:v>
                </c:pt>
                <c:pt idx="12">
                  <c:v>1</c:v>
                </c:pt>
                <c:pt idx="13">
                  <c:v>0.5</c:v>
                </c:pt>
                <c:pt idx="14">
                  <c:v>1</c:v>
                </c:pt>
                <c:pt idx="15">
                  <c:v>1</c:v>
                </c:pt>
                <c:pt idx="1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EE9C-4852-A271-83521042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4"/>
        <c:overlap val="-27"/>
        <c:axId val="1254436872"/>
        <c:axId val="1254438920"/>
      </c:barChart>
      <c:catAx>
        <c:axId val="125443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38920"/>
        <c:crosses val="autoZero"/>
        <c:auto val="1"/>
        <c:lblAlgn val="ctr"/>
        <c:lblOffset val="100"/>
        <c:noMultiLvlLbl val="0"/>
      </c:catAx>
      <c:valAx>
        <c:axId val="125443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3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layout>
        <c:manualLayout>
          <c:xMode val="edge"/>
          <c:yMode val="edge"/>
          <c:x val="0.27130133232857612"/>
          <c:y val="3.77604394502770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Sheet1!J4:J20</c:f>
              <c:numCache>
                <c:formatCode>0%</c:formatCode>
                <c:ptCount val="17"/>
                <c:pt idx="0">
                  <c:v>0.5</c:v>
                </c:pt>
                <c:pt idx="1">
                  <c:v>0.3</c:v>
                </c:pt>
                <c:pt idx="2">
                  <c:v>0.5</c:v>
                </c:pt>
                <c:pt idx="3">
                  <c:v>0.45</c:v>
                </c:pt>
                <c:pt idx="4">
                  <c:v>0.5</c:v>
                </c:pt>
                <c:pt idx="5">
                  <c:v>0.5</c:v>
                </c:pt>
                <c:pt idx="6">
                  <c:v>0.4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0.3</c:v>
                </c:pt>
                <c:pt idx="11">
                  <c:v>0.2</c:v>
                </c:pt>
                <c:pt idx="12">
                  <c:v>0.5</c:v>
                </c:pt>
                <c:pt idx="13">
                  <c:v>0.25</c:v>
                </c:pt>
                <c:pt idx="14">
                  <c:v>0.5</c:v>
                </c:pt>
                <c:pt idx="15">
                  <c:v>0.5</c:v>
                </c:pt>
                <c:pt idx="16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637-A38B-8DCB135FA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486024"/>
        <c:axId val="1254488072"/>
      </c:barChart>
      <c:catAx>
        <c:axId val="125448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88072"/>
        <c:crosses val="autoZero"/>
        <c:auto val="1"/>
        <c:lblAlgn val="ctr"/>
        <c:lblOffset val="100"/>
        <c:noMultiLvlLbl val="0"/>
      </c:catAx>
      <c:valAx>
        <c:axId val="125448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8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D966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Sheet1!$K$4:$K$20</c:f>
              <c:numCache>
                <c:formatCode>0%</c:formatCode>
                <c:ptCount val="17"/>
                <c:pt idx="0">
                  <c:v>1</c:v>
                </c:pt>
                <c:pt idx="1">
                  <c:v>0.6</c:v>
                </c:pt>
                <c:pt idx="2">
                  <c:v>1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  <c:pt idx="6">
                  <c:v>0.8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0.6</c:v>
                </c:pt>
                <c:pt idx="11">
                  <c:v>0.4</c:v>
                </c:pt>
                <c:pt idx="12">
                  <c:v>1</c:v>
                </c:pt>
                <c:pt idx="13">
                  <c:v>0.5</c:v>
                </c:pt>
                <c:pt idx="14">
                  <c:v>1</c:v>
                </c:pt>
                <c:pt idx="15">
                  <c:v>1</c:v>
                </c:pt>
                <c:pt idx="1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8-45AE-9FE1-E439C871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246664"/>
        <c:axId val="1433808904"/>
      </c:barChart>
      <c:catAx>
        <c:axId val="97824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808904"/>
        <c:crosses val="autoZero"/>
        <c:auto val="1"/>
        <c:lblAlgn val="ctr"/>
        <c:lblOffset val="100"/>
        <c:noMultiLvlLbl val="0"/>
      </c:catAx>
      <c:valAx>
        <c:axId val="143380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4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Drug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Sheet1!$G$4:$G$20</c:f>
              <c:numCache>
                <c:formatCode>General</c:formatCode>
                <c:ptCount val="17"/>
                <c:pt idx="0">
                  <c:v>10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10</c:v>
                </c:pt>
                <c:pt idx="5">
                  <c:v>10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6</c:v>
                </c:pt>
                <c:pt idx="11">
                  <c:v>4</c:v>
                </c:pt>
                <c:pt idx="12">
                  <c:v>10</c:v>
                </c:pt>
                <c:pt idx="13">
                  <c:v>5</c:v>
                </c:pt>
                <c:pt idx="14">
                  <c:v>10</c:v>
                </c:pt>
                <c:pt idx="15">
                  <c:v>10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0-4D09-8B21-9F5B9C9D5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680200"/>
        <c:axId val="1444682248"/>
      </c:barChart>
      <c:catAx>
        <c:axId val="144468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82248"/>
        <c:crosses val="autoZero"/>
        <c:auto val="1"/>
        <c:lblAlgn val="ctr"/>
        <c:lblOffset val="100"/>
        <c:noMultiLvlLbl val="0"/>
      </c:catAx>
      <c:valAx>
        <c:axId val="144468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8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</xdr:row>
      <xdr:rowOff>0</xdr:rowOff>
    </xdr:from>
    <xdr:to>
      <xdr:col>23</xdr:col>
      <xdr:colOff>323850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36D5F-8D6F-6900-E5D7-5EEF33FE2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17</xdr:row>
      <xdr:rowOff>19050</xdr:rowOff>
    </xdr:from>
    <xdr:to>
      <xdr:col>23</xdr:col>
      <xdr:colOff>314325</xdr:colOff>
      <xdr:row>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3BC659-6D95-2EC9-0B95-98CD2A1733AD}"/>
            </a:ext>
            <a:ext uri="{147F2762-F138-4A5C-976F-8EAC2B608ADB}">
              <a16:predDERef xmlns:a16="http://schemas.microsoft.com/office/drawing/2014/main" pred="{DAC36D5F-8D6F-6900-E5D7-5EEF33FE2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28575</xdr:colOff>
      <xdr:row>33</xdr:row>
      <xdr:rowOff>38100</xdr:rowOff>
    </xdr:from>
    <xdr:to>
      <xdr:col>23</xdr:col>
      <xdr:colOff>333375</xdr:colOff>
      <xdr:row>47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695E41-3CF2-BFB9-7F63-9819AC4A433E}"/>
            </a:ext>
            <a:ext uri="{147F2762-F138-4A5C-976F-8EAC2B608ADB}">
              <a16:predDERef xmlns:a16="http://schemas.microsoft.com/office/drawing/2014/main" pred="{5A3BC659-6D95-2EC9-0B95-98CD2A173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47625</xdr:colOff>
      <xdr:row>49</xdr:row>
      <xdr:rowOff>123825</xdr:rowOff>
    </xdr:from>
    <xdr:to>
      <xdr:col>23</xdr:col>
      <xdr:colOff>352425</xdr:colOff>
      <xdr:row>64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7F9D76-4C67-D58D-D205-280AAE762C1B}"/>
            </a:ext>
            <a:ext uri="{147F2762-F138-4A5C-976F-8EAC2B608ADB}">
              <a16:predDERef xmlns:a16="http://schemas.microsoft.com/office/drawing/2014/main" pred="{B3695E41-3CF2-BFB9-7F63-9819AC4A4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A37" workbookViewId="0">
      <selection activeCell="Z6" sqref="Z6"/>
    </sheetView>
  </sheetViews>
  <sheetFormatPr defaultRowHeight="15"/>
  <cols>
    <col min="1" max="1" width="11.28515625" bestFit="1" customWidth="1"/>
    <col min="2" max="2" width="10.28515625" bestFit="1" customWidth="1"/>
    <col min="3" max="3" width="14" customWidth="1"/>
    <col min="4" max="4" width="6.85546875" customWidth="1"/>
    <col min="5" max="5" width="8.140625" customWidth="1"/>
    <col min="6" max="6" width="7.42578125" customWidth="1"/>
    <col min="7" max="7" width="6.85546875" customWidth="1"/>
    <col min="9" max="9" width="8" customWidth="1"/>
    <col min="10" max="10" width="8.7109375" customWidth="1"/>
    <col min="11" max="11" width="9.42578125" customWidth="1"/>
    <col min="12" max="12" width="12.7109375" customWidth="1"/>
    <col min="14" max="14" width="11" customWidth="1"/>
    <col min="20" max="20" width="14.85546875" customWidth="1"/>
  </cols>
  <sheetData>
    <row r="1" spans="1:20" ht="124.5">
      <c r="A1" s="10" t="s">
        <v>0</v>
      </c>
      <c r="D1" s="8" t="s">
        <v>1</v>
      </c>
      <c r="E1" s="8" t="s">
        <v>2</v>
      </c>
      <c r="F1" s="8" t="s">
        <v>3</v>
      </c>
      <c r="G1" s="8" t="s">
        <v>4</v>
      </c>
      <c r="I1" s="7" t="s">
        <v>1</v>
      </c>
      <c r="J1" s="7" t="s">
        <v>2</v>
      </c>
      <c r="K1" s="7" t="s">
        <v>5</v>
      </c>
      <c r="L1" s="7" t="s">
        <v>4</v>
      </c>
      <c r="N1" s="6" t="s">
        <v>6</v>
      </c>
      <c r="T1" s="12" t="s">
        <v>7</v>
      </c>
    </row>
    <row r="2" spans="1:20">
      <c r="C2" s="9" t="s">
        <v>8</v>
      </c>
      <c r="D2" s="1">
        <v>10</v>
      </c>
      <c r="E2" s="1">
        <v>20</v>
      </c>
      <c r="F2" s="1">
        <v>100</v>
      </c>
      <c r="G2" s="1">
        <v>10</v>
      </c>
    </row>
    <row r="3" spans="1:20">
      <c r="A3" s="10" t="s">
        <v>9</v>
      </c>
      <c r="B3" s="10" t="s">
        <v>10</v>
      </c>
    </row>
    <row r="4" spans="1:20">
      <c r="A4" t="s">
        <v>11</v>
      </c>
      <c r="B4" t="s">
        <v>12</v>
      </c>
      <c r="D4">
        <v>10</v>
      </c>
      <c r="E4">
        <v>10</v>
      </c>
      <c r="F4">
        <v>100</v>
      </c>
      <c r="G4">
        <v>10</v>
      </c>
      <c r="I4" s="2">
        <f>D4/D$2</f>
        <v>1</v>
      </c>
      <c r="J4" s="2">
        <f t="shared" ref="J4:L19" si="0">E4/E$2</f>
        <v>0.5</v>
      </c>
      <c r="K4" s="2">
        <f t="shared" si="0"/>
        <v>1</v>
      </c>
      <c r="L4" s="2">
        <f t="shared" si="0"/>
        <v>1</v>
      </c>
      <c r="N4" t="b">
        <f>OR(I4&lt;50%, J4&lt;50%, K4&lt;50%, L4&lt;50%)</f>
        <v>0</v>
      </c>
    </row>
    <row r="5" spans="1:20">
      <c r="A5" t="s">
        <v>13</v>
      </c>
      <c r="B5" t="s">
        <v>14</v>
      </c>
      <c r="D5">
        <v>6</v>
      </c>
      <c r="E5">
        <v>6</v>
      </c>
      <c r="F5">
        <v>60</v>
      </c>
      <c r="G5">
        <v>6</v>
      </c>
      <c r="I5" s="2">
        <f t="shared" ref="I5:I20" si="1">D5/D$2</f>
        <v>0.6</v>
      </c>
      <c r="J5" s="2">
        <f t="shared" si="0"/>
        <v>0.3</v>
      </c>
      <c r="K5" s="2">
        <f t="shared" si="0"/>
        <v>0.6</v>
      </c>
      <c r="L5" s="2">
        <f t="shared" si="0"/>
        <v>0.6</v>
      </c>
      <c r="N5" t="b">
        <f t="shared" ref="N5:N20" si="2">OR(I5&lt;50%, J5&lt;50%, K5&lt;50%, L5&lt;50%)</f>
        <v>1</v>
      </c>
    </row>
    <row r="6" spans="1:20">
      <c r="A6" t="s">
        <v>15</v>
      </c>
      <c r="B6" t="s">
        <v>16</v>
      </c>
      <c r="D6">
        <v>10</v>
      </c>
      <c r="E6">
        <v>10</v>
      </c>
      <c r="F6">
        <v>100</v>
      </c>
      <c r="G6">
        <v>10</v>
      </c>
      <c r="I6" s="2">
        <f t="shared" si="1"/>
        <v>1</v>
      </c>
      <c r="J6" s="2">
        <f t="shared" si="0"/>
        <v>0.5</v>
      </c>
      <c r="K6" s="2">
        <f t="shared" si="0"/>
        <v>1</v>
      </c>
      <c r="L6" s="2">
        <f t="shared" si="0"/>
        <v>1</v>
      </c>
      <c r="N6" t="b">
        <f t="shared" si="2"/>
        <v>0</v>
      </c>
    </row>
    <row r="7" spans="1:20">
      <c r="A7" t="s">
        <v>17</v>
      </c>
      <c r="B7" t="s">
        <v>18</v>
      </c>
      <c r="D7">
        <v>9</v>
      </c>
      <c r="E7">
        <v>9</v>
      </c>
      <c r="F7">
        <v>90</v>
      </c>
      <c r="G7">
        <v>9</v>
      </c>
      <c r="I7" s="2">
        <f t="shared" si="1"/>
        <v>0.9</v>
      </c>
      <c r="J7" s="2">
        <f t="shared" si="0"/>
        <v>0.45</v>
      </c>
      <c r="K7" s="2">
        <f t="shared" si="0"/>
        <v>0.9</v>
      </c>
      <c r="L7" s="2">
        <f t="shared" si="0"/>
        <v>0.9</v>
      </c>
      <c r="N7" t="b">
        <f t="shared" si="2"/>
        <v>1</v>
      </c>
    </row>
    <row r="8" spans="1:20">
      <c r="A8" t="s">
        <v>19</v>
      </c>
      <c r="B8" t="s">
        <v>20</v>
      </c>
      <c r="D8">
        <v>10</v>
      </c>
      <c r="E8">
        <v>10</v>
      </c>
      <c r="F8">
        <v>100</v>
      </c>
      <c r="G8">
        <v>10</v>
      </c>
      <c r="I8" s="2">
        <f t="shared" si="1"/>
        <v>1</v>
      </c>
      <c r="J8" s="2">
        <f t="shared" si="0"/>
        <v>0.5</v>
      </c>
      <c r="K8" s="2">
        <f t="shared" si="0"/>
        <v>1</v>
      </c>
      <c r="L8" s="2">
        <f t="shared" si="0"/>
        <v>1</v>
      </c>
      <c r="N8" t="b">
        <f t="shared" si="2"/>
        <v>0</v>
      </c>
    </row>
    <row r="9" spans="1:20">
      <c r="A9" t="s">
        <v>21</v>
      </c>
      <c r="B9" t="s">
        <v>22</v>
      </c>
      <c r="D9">
        <v>10</v>
      </c>
      <c r="E9">
        <v>10</v>
      </c>
      <c r="F9">
        <v>100</v>
      </c>
      <c r="G9">
        <v>10</v>
      </c>
      <c r="I9" s="2">
        <f t="shared" si="1"/>
        <v>1</v>
      </c>
      <c r="J9" s="2">
        <f t="shared" si="0"/>
        <v>0.5</v>
      </c>
      <c r="K9" s="2">
        <f t="shared" si="0"/>
        <v>1</v>
      </c>
      <c r="L9" s="2">
        <f t="shared" si="0"/>
        <v>1</v>
      </c>
      <c r="N9" t="b">
        <f t="shared" si="2"/>
        <v>0</v>
      </c>
    </row>
    <row r="10" spans="1:20">
      <c r="A10" t="s">
        <v>23</v>
      </c>
      <c r="B10" t="s">
        <v>24</v>
      </c>
      <c r="D10">
        <v>8</v>
      </c>
      <c r="E10">
        <v>8</v>
      </c>
      <c r="F10">
        <v>80</v>
      </c>
      <c r="G10">
        <v>8</v>
      </c>
      <c r="I10" s="2">
        <f t="shared" si="1"/>
        <v>0.8</v>
      </c>
      <c r="J10" s="2">
        <f t="shared" si="0"/>
        <v>0.4</v>
      </c>
      <c r="K10" s="2">
        <f t="shared" si="0"/>
        <v>0.8</v>
      </c>
      <c r="L10" s="2">
        <f t="shared" si="0"/>
        <v>0.8</v>
      </c>
      <c r="N10" t="b">
        <f t="shared" si="2"/>
        <v>1</v>
      </c>
    </row>
    <row r="11" spans="1:20">
      <c r="A11" t="s">
        <v>25</v>
      </c>
      <c r="B11" t="s">
        <v>26</v>
      </c>
      <c r="D11">
        <v>10</v>
      </c>
      <c r="E11">
        <v>10</v>
      </c>
      <c r="F11">
        <v>100</v>
      </c>
      <c r="G11">
        <v>10</v>
      </c>
      <c r="I11" s="2">
        <f t="shared" si="1"/>
        <v>1</v>
      </c>
      <c r="J11" s="2">
        <f t="shared" si="0"/>
        <v>0.5</v>
      </c>
      <c r="K11" s="2">
        <f t="shared" si="0"/>
        <v>1</v>
      </c>
      <c r="L11" s="2">
        <f t="shared" si="0"/>
        <v>1</v>
      </c>
      <c r="N11" t="b">
        <f t="shared" si="2"/>
        <v>0</v>
      </c>
    </row>
    <row r="12" spans="1:20">
      <c r="A12" t="s">
        <v>27</v>
      </c>
      <c r="B12" t="s">
        <v>28</v>
      </c>
      <c r="D12">
        <v>10</v>
      </c>
      <c r="E12">
        <v>10</v>
      </c>
      <c r="F12">
        <v>100</v>
      </c>
      <c r="G12">
        <v>10</v>
      </c>
      <c r="I12" s="2">
        <f t="shared" si="1"/>
        <v>1</v>
      </c>
      <c r="J12" s="2">
        <f t="shared" si="0"/>
        <v>0.5</v>
      </c>
      <c r="K12" s="2">
        <f t="shared" si="0"/>
        <v>1</v>
      </c>
      <c r="L12" s="2">
        <f t="shared" si="0"/>
        <v>1</v>
      </c>
      <c r="N12" t="b">
        <f t="shared" si="2"/>
        <v>0</v>
      </c>
    </row>
    <row r="13" spans="1:20">
      <c r="A13" t="s">
        <v>29</v>
      </c>
      <c r="B13" t="s">
        <v>30</v>
      </c>
      <c r="D13">
        <v>10</v>
      </c>
      <c r="E13">
        <v>10</v>
      </c>
      <c r="F13">
        <v>100</v>
      </c>
      <c r="G13">
        <v>10</v>
      </c>
      <c r="I13" s="2">
        <f t="shared" si="1"/>
        <v>1</v>
      </c>
      <c r="J13" s="2">
        <f t="shared" si="0"/>
        <v>0.5</v>
      </c>
      <c r="K13" s="2">
        <f t="shared" si="0"/>
        <v>1</v>
      </c>
      <c r="L13" s="2">
        <f t="shared" si="0"/>
        <v>1</v>
      </c>
      <c r="N13" t="b">
        <f t="shared" si="2"/>
        <v>0</v>
      </c>
    </row>
    <row r="14" spans="1:20">
      <c r="A14" t="s">
        <v>31</v>
      </c>
      <c r="B14" t="s">
        <v>32</v>
      </c>
      <c r="D14">
        <v>6</v>
      </c>
      <c r="E14">
        <v>6</v>
      </c>
      <c r="F14">
        <v>60</v>
      </c>
      <c r="G14">
        <v>6</v>
      </c>
      <c r="I14" s="2">
        <f t="shared" si="1"/>
        <v>0.6</v>
      </c>
      <c r="J14" s="2">
        <f t="shared" si="0"/>
        <v>0.3</v>
      </c>
      <c r="K14" s="2">
        <f t="shared" si="0"/>
        <v>0.6</v>
      </c>
      <c r="L14" s="2">
        <f t="shared" si="0"/>
        <v>0.6</v>
      </c>
      <c r="N14" t="b">
        <f t="shared" si="2"/>
        <v>1</v>
      </c>
    </row>
    <row r="15" spans="1:20">
      <c r="A15" t="s">
        <v>33</v>
      </c>
      <c r="B15" t="s">
        <v>34</v>
      </c>
      <c r="D15">
        <v>4</v>
      </c>
      <c r="E15">
        <v>4</v>
      </c>
      <c r="F15">
        <v>40</v>
      </c>
      <c r="G15">
        <v>4</v>
      </c>
      <c r="I15" s="2">
        <f t="shared" si="1"/>
        <v>0.4</v>
      </c>
      <c r="J15" s="2">
        <f t="shared" si="0"/>
        <v>0.2</v>
      </c>
      <c r="K15" s="2">
        <f t="shared" si="0"/>
        <v>0.4</v>
      </c>
      <c r="L15" s="2">
        <f t="shared" si="0"/>
        <v>0.4</v>
      </c>
      <c r="N15" t="b">
        <f t="shared" si="2"/>
        <v>1</v>
      </c>
    </row>
    <row r="16" spans="1:20">
      <c r="A16" t="s">
        <v>35</v>
      </c>
      <c r="B16" t="s">
        <v>36</v>
      </c>
      <c r="D16">
        <v>10</v>
      </c>
      <c r="E16">
        <v>10</v>
      </c>
      <c r="F16">
        <v>100</v>
      </c>
      <c r="G16">
        <v>10</v>
      </c>
      <c r="I16" s="2">
        <f t="shared" si="1"/>
        <v>1</v>
      </c>
      <c r="J16" s="2">
        <f t="shared" si="0"/>
        <v>0.5</v>
      </c>
      <c r="K16" s="2">
        <f t="shared" si="0"/>
        <v>1</v>
      </c>
      <c r="L16" s="2">
        <f t="shared" si="0"/>
        <v>1</v>
      </c>
      <c r="N16" t="b">
        <f t="shared" si="2"/>
        <v>0</v>
      </c>
    </row>
    <row r="17" spans="1:14">
      <c r="A17" t="s">
        <v>37</v>
      </c>
      <c r="B17" t="s">
        <v>38</v>
      </c>
      <c r="D17">
        <v>5</v>
      </c>
      <c r="E17">
        <v>5</v>
      </c>
      <c r="F17">
        <v>50</v>
      </c>
      <c r="G17">
        <v>5</v>
      </c>
      <c r="I17" s="2">
        <f t="shared" si="1"/>
        <v>0.5</v>
      </c>
      <c r="J17" s="2">
        <f t="shared" si="0"/>
        <v>0.25</v>
      </c>
      <c r="K17" s="2">
        <f t="shared" si="0"/>
        <v>0.5</v>
      </c>
      <c r="L17" s="2">
        <f t="shared" si="0"/>
        <v>0.5</v>
      </c>
      <c r="N17" t="b">
        <f t="shared" si="2"/>
        <v>1</v>
      </c>
    </row>
    <row r="18" spans="1:14">
      <c r="A18" t="s">
        <v>39</v>
      </c>
      <c r="B18" t="s">
        <v>40</v>
      </c>
      <c r="D18">
        <v>10</v>
      </c>
      <c r="E18">
        <v>10</v>
      </c>
      <c r="F18">
        <v>100</v>
      </c>
      <c r="G18">
        <v>10</v>
      </c>
      <c r="I18" s="2">
        <f t="shared" si="1"/>
        <v>1</v>
      </c>
      <c r="J18" s="2">
        <f t="shared" si="0"/>
        <v>0.5</v>
      </c>
      <c r="K18" s="2">
        <f t="shared" si="0"/>
        <v>1</v>
      </c>
      <c r="L18" s="2">
        <f t="shared" si="0"/>
        <v>1</v>
      </c>
      <c r="N18" t="b">
        <f t="shared" si="2"/>
        <v>0</v>
      </c>
    </row>
    <row r="19" spans="1:14">
      <c r="A19" t="s">
        <v>41</v>
      </c>
      <c r="B19" t="s">
        <v>42</v>
      </c>
      <c r="D19">
        <v>10</v>
      </c>
      <c r="E19">
        <v>10</v>
      </c>
      <c r="F19">
        <v>100</v>
      </c>
      <c r="G19">
        <v>10</v>
      </c>
      <c r="I19" s="2">
        <f t="shared" si="1"/>
        <v>1</v>
      </c>
      <c r="J19" s="2">
        <f t="shared" si="0"/>
        <v>0.5</v>
      </c>
      <c r="K19" s="2">
        <f t="shared" si="0"/>
        <v>1</v>
      </c>
      <c r="L19" s="2">
        <f t="shared" si="0"/>
        <v>1</v>
      </c>
      <c r="N19" t="b">
        <f t="shared" si="2"/>
        <v>0</v>
      </c>
    </row>
    <row r="20" spans="1:14">
      <c r="A20" t="s">
        <v>43</v>
      </c>
      <c r="B20" t="s">
        <v>44</v>
      </c>
      <c r="D20">
        <v>7</v>
      </c>
      <c r="E20">
        <v>7</v>
      </c>
      <c r="F20">
        <v>70</v>
      </c>
      <c r="G20">
        <v>7</v>
      </c>
      <c r="I20" s="2">
        <f t="shared" si="1"/>
        <v>0.7</v>
      </c>
      <c r="J20" s="2">
        <f t="shared" ref="J20" si="3">E20/E$2</f>
        <v>0.35</v>
      </c>
      <c r="K20" s="2">
        <f t="shared" ref="K20" si="4">F20/F$2</f>
        <v>0.7</v>
      </c>
      <c r="L20" s="2">
        <f t="shared" ref="L20" si="5">G20/G$2</f>
        <v>0.7</v>
      </c>
      <c r="N20" t="b">
        <f t="shared" si="2"/>
        <v>1</v>
      </c>
    </row>
    <row r="23" spans="1:14">
      <c r="A23" s="11" t="s">
        <v>45</v>
      </c>
      <c r="D23" s="3">
        <f>MAX(D2:D20)</f>
        <v>10</v>
      </c>
      <c r="E23" s="3">
        <f t="shared" ref="E23:G23" si="6">MAX(E2:E20)</f>
        <v>20</v>
      </c>
      <c r="F23" s="3">
        <f t="shared" si="6"/>
        <v>100</v>
      </c>
      <c r="G23" s="3">
        <f t="shared" si="6"/>
        <v>10</v>
      </c>
      <c r="H23" s="4"/>
      <c r="I23" s="5">
        <f t="shared" ref="I23:L23" si="7">MAX(I2:I20)</f>
        <v>1</v>
      </c>
      <c r="J23" s="5">
        <f t="shared" si="7"/>
        <v>0.5</v>
      </c>
      <c r="K23" s="5">
        <f t="shared" si="7"/>
        <v>1</v>
      </c>
      <c r="L23" s="5">
        <f t="shared" si="7"/>
        <v>1</v>
      </c>
    </row>
    <row r="24" spans="1:14">
      <c r="A24" s="11" t="s">
        <v>46</v>
      </c>
      <c r="D24" s="3">
        <f>MIN(D2:D20)</f>
        <v>4</v>
      </c>
      <c r="E24" s="3">
        <f t="shared" ref="E24:G24" si="8">MIN(E2:E20)</f>
        <v>4</v>
      </c>
      <c r="F24" s="3">
        <f t="shared" si="8"/>
        <v>40</v>
      </c>
      <c r="G24" s="3">
        <f t="shared" si="8"/>
        <v>4</v>
      </c>
      <c r="H24" s="4"/>
      <c r="I24" s="5">
        <f t="shared" ref="I24:L24" si="9">MIN(I2:I20)</f>
        <v>0.4</v>
      </c>
      <c r="J24" s="5">
        <f t="shared" si="9"/>
        <v>0.2</v>
      </c>
      <c r="K24" s="5">
        <f t="shared" si="9"/>
        <v>0.4</v>
      </c>
      <c r="L24" s="5">
        <f t="shared" si="9"/>
        <v>0.4</v>
      </c>
    </row>
    <row r="25" spans="1:14">
      <c r="A25" s="11" t="s">
        <v>47</v>
      </c>
      <c r="D25" s="3">
        <f>AVERAGE(D2:D20)</f>
        <v>8.6111111111111107</v>
      </c>
      <c r="E25" s="3">
        <f t="shared" ref="E25:G25" si="10">AVERAGE(E2:E20)</f>
        <v>9.1666666666666661</v>
      </c>
      <c r="F25" s="3">
        <f t="shared" si="10"/>
        <v>86.111111111111114</v>
      </c>
      <c r="G25" s="3">
        <f t="shared" si="10"/>
        <v>8.6111111111111107</v>
      </c>
      <c r="H25" s="4"/>
      <c r="I25" s="5">
        <f t="shared" ref="I25:L25" si="11">AVERAGE(I2:I20)</f>
        <v>0.8529411764705882</v>
      </c>
      <c r="J25" s="5">
        <f t="shared" si="11"/>
        <v>0.4264705882352941</v>
      </c>
      <c r="K25" s="5">
        <f t="shared" si="11"/>
        <v>0.8529411764705882</v>
      </c>
      <c r="L25" s="5">
        <f t="shared" si="11"/>
        <v>0.8529411764705882</v>
      </c>
    </row>
  </sheetData>
  <conditionalFormatting sqref="D4:D20">
    <cfRule type="iconSet" priority="8">
      <iconSet>
        <cfvo type="percent" val="0"/>
        <cfvo type="percent" val="33"/>
        <cfvo type="percent" val="67"/>
      </iconSet>
    </cfRule>
  </conditionalFormatting>
  <conditionalFormatting sqref="E4:E20 G4:G20">
    <cfRule type="iconSet" priority="7">
      <iconSet>
        <cfvo type="percent" val="0"/>
        <cfvo type="percent" val="33"/>
        <cfvo type="percent" val="67"/>
      </iconSet>
    </cfRule>
  </conditionalFormatting>
  <conditionalFormatting sqref="I4:L20">
    <cfRule type="cellIs" dxfId="2" priority="6" operator="lessThan">
      <formula>0.5</formula>
    </cfRule>
  </conditionalFormatting>
  <conditionalFormatting sqref="F4:F20">
    <cfRule type="iconSet" priority="3">
      <iconSet>
        <cfvo type="percent" val="0"/>
        <cfvo type="percent" val="33"/>
        <cfvo type="percent" val="67"/>
      </iconSet>
    </cfRule>
  </conditionalFormatting>
  <conditionalFormatting sqref="I4:L20">
    <cfRule type="cellIs" dxfId="1" priority="2" operator="lessThan">
      <formula>0.5</formula>
    </cfRule>
  </conditionalFormatting>
  <conditionalFormatting sqref="N4:N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2026-05-07T15:52:23Z</dcterms:created>
  <dcterms:modified xsi:type="dcterms:W3CDTF">2026-05-07T20:05:17Z</dcterms:modified>
  <cp:category/>
  <cp:contentStatus/>
</cp:coreProperties>
</file>