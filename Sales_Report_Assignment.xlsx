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hidePivotFieldList="1" defaultThemeVersion="166925"/>
  <xr:revisionPtr revIDLastSave="0" documentId="8_{D84411EF-9162-4C23-9EE7-8D5086C808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 Report" sheetId="1" r:id="rId1"/>
    <sheet name="Chart" sheetId="2" r:id="rId2"/>
  </sheets>
  <definedNames>
    <definedName name="_xlnm._FilterDatabase" localSheetId="0" hidden="1">'Sales Report'!$A$1:$K$172</definedName>
  </definedNames>
  <calcPr calcId="191028"/>
  <pivotCaches>
    <pivotCache cacheId="25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F177" i="1"/>
  <c r="F176" i="1"/>
  <c r="F175" i="1"/>
  <c r="G66" i="1"/>
  <c r="H66" i="1" s="1"/>
  <c r="G13" i="1"/>
  <c r="H13" i="1" s="1"/>
  <c r="G14" i="1"/>
  <c r="H14" i="1" s="1"/>
  <c r="G15" i="1"/>
  <c r="H15" i="1" s="1"/>
  <c r="G16" i="1"/>
  <c r="H16" i="1" s="1"/>
  <c r="G111" i="1"/>
  <c r="H111" i="1" s="1"/>
  <c r="G112" i="1"/>
  <c r="H112" i="1" s="1"/>
  <c r="G17" i="1"/>
  <c r="H17" i="1" s="1"/>
  <c r="G102" i="1"/>
  <c r="H102" i="1" s="1"/>
  <c r="G18" i="1"/>
  <c r="H18" i="1" s="1"/>
  <c r="G113" i="1"/>
  <c r="H113" i="1" s="1"/>
  <c r="G103" i="1"/>
  <c r="H103" i="1" s="1"/>
  <c r="G67" i="1"/>
  <c r="H67" i="1" s="1"/>
  <c r="G19" i="1"/>
  <c r="H19" i="1" s="1"/>
  <c r="G68" i="1"/>
  <c r="H68" i="1" s="1"/>
  <c r="G107" i="1"/>
  <c r="H107" i="1" s="1"/>
  <c r="G63" i="1"/>
  <c r="H63" i="1" s="1"/>
  <c r="G99" i="1"/>
  <c r="H99" i="1" s="1"/>
  <c r="G132" i="1"/>
  <c r="H132" i="1" s="1"/>
  <c r="G100" i="1"/>
  <c r="H100" i="1" s="1"/>
  <c r="G165" i="1"/>
  <c r="H165" i="1" s="1"/>
  <c r="G108" i="1"/>
  <c r="H108" i="1" s="1"/>
  <c r="G166" i="1"/>
  <c r="H166" i="1" s="1"/>
  <c r="G133" i="1"/>
  <c r="H133" i="1" s="1"/>
  <c r="G109" i="1"/>
  <c r="H109" i="1" s="1"/>
  <c r="G134" i="1"/>
  <c r="H134" i="1" s="1"/>
  <c r="G10" i="1"/>
  <c r="H10" i="1" s="1"/>
  <c r="G11" i="1"/>
  <c r="H11" i="1" s="1"/>
  <c r="G135" i="1"/>
  <c r="H135" i="1" s="1"/>
  <c r="G64" i="1"/>
  <c r="H64" i="1" s="1"/>
  <c r="G12" i="1"/>
  <c r="H12" i="1" s="1"/>
  <c r="G65" i="1"/>
  <c r="H65" i="1" s="1"/>
  <c r="G101" i="1"/>
  <c r="H101" i="1" s="1"/>
  <c r="G83" i="1"/>
  <c r="H83" i="1" s="1"/>
  <c r="G148" i="1"/>
  <c r="H148" i="1" s="1"/>
  <c r="G149" i="1"/>
  <c r="H149" i="1" s="1"/>
  <c r="G150" i="1"/>
  <c r="H150" i="1" s="1"/>
  <c r="G84" i="1"/>
  <c r="H84" i="1" s="1"/>
  <c r="G32" i="1"/>
  <c r="H32" i="1" s="1"/>
  <c r="G119" i="1"/>
  <c r="H119" i="1" s="1"/>
  <c r="G120" i="1"/>
  <c r="H120" i="1" s="1"/>
  <c r="G85" i="1"/>
  <c r="H85" i="1" s="1"/>
  <c r="G86" i="1"/>
  <c r="H86" i="1" s="1"/>
  <c r="G33" i="1"/>
  <c r="H33" i="1" s="1"/>
  <c r="G170" i="1"/>
  <c r="H170" i="1" s="1"/>
  <c r="G34" i="1"/>
  <c r="H34" i="1" s="1"/>
  <c r="G35" i="1"/>
  <c r="H35" i="1" s="1"/>
  <c r="G98" i="1"/>
  <c r="H98" i="1" s="1"/>
  <c r="G2" i="1"/>
  <c r="H2" i="1" s="1"/>
  <c r="G162" i="1"/>
  <c r="H162" i="1" s="1"/>
  <c r="G3" i="1"/>
  <c r="H3" i="1" s="1"/>
  <c r="G52" i="1"/>
  <c r="H52" i="1" s="1"/>
  <c r="G124" i="1"/>
  <c r="H124" i="1" s="1"/>
  <c r="G125" i="1"/>
  <c r="H125" i="1" s="1"/>
  <c r="G53" i="1"/>
  <c r="H53" i="1" s="1"/>
  <c r="G54" i="1"/>
  <c r="H54" i="1" s="1"/>
  <c r="G4" i="1"/>
  <c r="H4" i="1" s="1"/>
  <c r="G5" i="1"/>
  <c r="H5" i="1" s="1"/>
  <c r="G126" i="1"/>
  <c r="H126" i="1" s="1"/>
  <c r="G151" i="1"/>
  <c r="H151" i="1" s="1"/>
  <c r="G36" i="1"/>
  <c r="H36" i="1" s="1"/>
  <c r="G87" i="1"/>
  <c r="H87" i="1" s="1"/>
  <c r="G37" i="1"/>
  <c r="H37" i="1" s="1"/>
  <c r="G121" i="1"/>
  <c r="H121" i="1" s="1"/>
  <c r="G152" i="1"/>
  <c r="H152" i="1" s="1"/>
  <c r="G171" i="1"/>
  <c r="H171" i="1" s="1"/>
  <c r="G88" i="1"/>
  <c r="H88" i="1" s="1"/>
  <c r="G38" i="1"/>
  <c r="H38" i="1" s="1"/>
  <c r="G39" i="1"/>
  <c r="H39" i="1" s="1"/>
  <c r="G40" i="1"/>
  <c r="H40" i="1" s="1"/>
  <c r="G153" i="1"/>
  <c r="H153" i="1" s="1"/>
  <c r="G89" i="1"/>
  <c r="H89" i="1" s="1"/>
  <c r="G41" i="1"/>
  <c r="H41" i="1" s="1"/>
  <c r="G90" i="1"/>
  <c r="H90" i="1" s="1"/>
  <c r="G42" i="1"/>
  <c r="H42" i="1" s="1"/>
  <c r="G43" i="1"/>
  <c r="H43" i="1" s="1"/>
  <c r="G154" i="1"/>
  <c r="H154" i="1" s="1"/>
  <c r="G116" i="1"/>
  <c r="H116" i="1" s="1"/>
  <c r="G77" i="1"/>
  <c r="H77" i="1" s="1"/>
  <c r="G169" i="1"/>
  <c r="H169" i="1" s="1"/>
  <c r="G78" i="1"/>
  <c r="H78" i="1" s="1"/>
  <c r="G143" i="1"/>
  <c r="H143" i="1" s="1"/>
  <c r="G27" i="1"/>
  <c r="H27" i="1" s="1"/>
  <c r="G144" i="1"/>
  <c r="H144" i="1" s="1"/>
  <c r="G28" i="1"/>
  <c r="H28" i="1" s="1"/>
  <c r="G79" i="1"/>
  <c r="H79" i="1" s="1"/>
  <c r="G117" i="1"/>
  <c r="H117" i="1" s="1"/>
  <c r="G145" i="1"/>
  <c r="H145" i="1" s="1"/>
  <c r="G80" i="1"/>
  <c r="H80" i="1" s="1"/>
  <c r="G146" i="1"/>
  <c r="H146" i="1" s="1"/>
  <c r="G81" i="1"/>
  <c r="H81" i="1" s="1"/>
  <c r="G29" i="1"/>
  <c r="H29" i="1" s="1"/>
  <c r="G82" i="1"/>
  <c r="H82" i="1" s="1"/>
  <c r="G30" i="1"/>
  <c r="H30" i="1" s="1"/>
  <c r="G31" i="1"/>
  <c r="H31" i="1" s="1"/>
  <c r="G147" i="1"/>
  <c r="H147" i="1" s="1"/>
  <c r="G118" i="1"/>
  <c r="H118" i="1" s="1"/>
  <c r="G69" i="1"/>
  <c r="H69" i="1" s="1"/>
  <c r="G167" i="1"/>
  <c r="H167" i="1" s="1"/>
  <c r="G70" i="1"/>
  <c r="H70" i="1" s="1"/>
  <c r="G136" i="1"/>
  <c r="H136" i="1" s="1"/>
  <c r="G20" i="1"/>
  <c r="H20" i="1" s="1"/>
  <c r="G137" i="1"/>
  <c r="H137" i="1" s="1"/>
  <c r="G21" i="1"/>
  <c r="H21" i="1" s="1"/>
  <c r="G71" i="1"/>
  <c r="H71" i="1" s="1"/>
  <c r="G114" i="1"/>
  <c r="H114" i="1" s="1"/>
  <c r="G138" i="1"/>
  <c r="H138" i="1" s="1"/>
  <c r="G72" i="1"/>
  <c r="H72" i="1" s="1"/>
  <c r="G139" i="1"/>
  <c r="H139" i="1" s="1"/>
  <c r="G73" i="1"/>
  <c r="H73" i="1" s="1"/>
  <c r="G22" i="1"/>
  <c r="H22" i="1" s="1"/>
  <c r="G74" i="1"/>
  <c r="H74" i="1" s="1"/>
  <c r="G23" i="1"/>
  <c r="H23" i="1" s="1"/>
  <c r="G24" i="1"/>
  <c r="H24" i="1" s="1"/>
  <c r="G140" i="1"/>
  <c r="H140" i="1" s="1"/>
  <c r="G115" i="1"/>
  <c r="H115" i="1" s="1"/>
  <c r="G75" i="1"/>
  <c r="H75" i="1" s="1"/>
  <c r="G168" i="1"/>
  <c r="H168" i="1" s="1"/>
  <c r="G76" i="1"/>
  <c r="H76" i="1" s="1"/>
  <c r="G141" i="1"/>
  <c r="H141" i="1" s="1"/>
  <c r="G25" i="1"/>
  <c r="H25" i="1" s="1"/>
  <c r="G142" i="1"/>
  <c r="H142" i="1" s="1"/>
  <c r="G26" i="1"/>
  <c r="H26" i="1" s="1"/>
  <c r="G55" i="1"/>
  <c r="H55" i="1" s="1"/>
  <c r="G104" i="1"/>
  <c r="H104" i="1" s="1"/>
  <c r="G127" i="1"/>
  <c r="H127" i="1" s="1"/>
  <c r="G56" i="1"/>
  <c r="H56" i="1" s="1"/>
  <c r="G128" i="1"/>
  <c r="H128" i="1" s="1"/>
  <c r="G57" i="1"/>
  <c r="H57" i="1" s="1"/>
  <c r="H6" i="1"/>
  <c r="G58" i="1"/>
  <c r="H58" i="1" s="1"/>
  <c r="G7" i="1"/>
  <c r="H7" i="1" s="1"/>
  <c r="G8" i="1"/>
  <c r="H8" i="1" s="1"/>
  <c r="G129" i="1"/>
  <c r="H129" i="1" s="1"/>
  <c r="G105" i="1"/>
  <c r="H105" i="1" s="1"/>
  <c r="G59" i="1"/>
  <c r="H59" i="1" s="1"/>
  <c r="G163" i="1"/>
  <c r="H163" i="1" s="1"/>
  <c r="G60" i="1"/>
  <c r="H60" i="1" s="1"/>
  <c r="G130" i="1"/>
  <c r="H130" i="1" s="1"/>
  <c r="G9" i="1"/>
  <c r="H9" i="1" s="1"/>
  <c r="G160" i="1"/>
  <c r="H160" i="1" s="1"/>
  <c r="G49" i="1"/>
  <c r="H49" i="1" s="1"/>
  <c r="G96" i="1"/>
  <c r="H96" i="1" s="1"/>
  <c r="G123" i="1"/>
  <c r="H123" i="1" s="1"/>
  <c r="G161" i="1"/>
  <c r="H161" i="1" s="1"/>
  <c r="G97" i="1"/>
  <c r="H97" i="1" s="1"/>
  <c r="G50" i="1"/>
  <c r="H50" i="1" s="1"/>
  <c r="G51" i="1"/>
  <c r="H51" i="1" s="1"/>
  <c r="G172" i="1"/>
  <c r="H172" i="1" s="1"/>
  <c r="G94" i="1"/>
  <c r="H94" i="1" s="1"/>
  <c r="G158" i="1"/>
  <c r="H158" i="1" s="1"/>
  <c r="G47" i="1"/>
  <c r="H47" i="1" s="1"/>
  <c r="G159" i="1"/>
  <c r="H159" i="1" s="1"/>
  <c r="G48" i="1"/>
  <c r="H48" i="1" s="1"/>
  <c r="G95" i="1"/>
  <c r="H95" i="1" s="1"/>
  <c r="G122" i="1"/>
  <c r="H122" i="1" s="1"/>
  <c r="G155" i="1"/>
  <c r="H155" i="1" s="1"/>
  <c r="G91" i="1"/>
  <c r="H91" i="1" s="1"/>
  <c r="G156" i="1"/>
  <c r="H156" i="1" s="1"/>
  <c r="G92" i="1"/>
  <c r="H92" i="1" s="1"/>
  <c r="G44" i="1"/>
  <c r="H44" i="1" s="1"/>
  <c r="G93" i="1"/>
  <c r="H93" i="1" s="1"/>
  <c r="G45" i="1"/>
  <c r="H45" i="1" s="1"/>
  <c r="G46" i="1"/>
  <c r="H46" i="1" s="1"/>
  <c r="G157" i="1"/>
  <c r="H157" i="1" s="1"/>
  <c r="G106" i="1"/>
  <c r="H106" i="1" s="1"/>
  <c r="G61" i="1"/>
  <c r="H61" i="1" s="1"/>
  <c r="G164" i="1"/>
  <c r="H164" i="1" s="1"/>
  <c r="G62" i="1"/>
  <c r="H62" i="1" s="1"/>
  <c r="G131" i="1"/>
  <c r="H131" i="1" s="1"/>
  <c r="G110" i="1"/>
  <c r="H110" i="1" s="1"/>
</calcChain>
</file>

<file path=xl/sharedStrings.xml><?xml version="1.0" encoding="utf-8"?>
<sst xmlns="http://schemas.openxmlformats.org/spreadsheetml/2006/main" count="1049" uniqueCount="225">
  <si>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</si>
  <si>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</si>
  <si>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</si>
  <si>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</si>
  <si>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</si>
  <si>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</si>
  <si>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</si>
  <si>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the item less than $50 but 20% for the item  more than $50</t>
  </si>
  <si>
    <t>First Name</t>
  </si>
  <si>
    <t>Last Name</t>
  </si>
  <si>
    <t>Sale Location</t>
  </si>
  <si>
    <t>April</t>
  </si>
  <si>
    <t>  1,050 </t>
  </si>
  <si>
    <t>Net</t>
  </si>
  <si>
    <t>Chalie</t>
  </si>
  <si>
    <t>Barns</t>
  </si>
  <si>
    <t>AZ</t>
  </si>
  <si>
    <t>  1,052 </t>
  </si>
  <si>
    <t>5 Gal Chlorine</t>
  </si>
  <si>
    <t>Doug</t>
  </si>
  <si>
    <t>Smith</t>
  </si>
  <si>
    <t>  1,058 </t>
  </si>
  <si>
    <t>Algea Killer 8 oz</t>
  </si>
  <si>
    <t>Hellen</t>
  </si>
  <si>
    <t>Johnson</t>
  </si>
  <si>
    <t>  1,059 </t>
  </si>
  <si>
    <t>AutoVac</t>
  </si>
  <si>
    <t>Aug</t>
  </si>
  <si>
    <t>  1,131 </t>
  </si>
  <si>
    <t>1 Gal Muratic Acid</t>
  </si>
  <si>
    <t>  1,133 </t>
  </si>
  <si>
    <t>Pool Cover</t>
  </si>
  <si>
    <t>  1,134 </t>
  </si>
  <si>
    <t>  1,141 </t>
  </si>
  <si>
    <t>Juan</t>
  </si>
  <si>
    <t>Hernandez</t>
  </si>
  <si>
    <t>Feb</t>
  </si>
  <si>
    <t>  1,028 </t>
  </si>
  <si>
    <t>Water Pump</t>
  </si>
  <si>
    <t>  1,029 </t>
  </si>
  <si>
    <t>8 ft Hose</t>
  </si>
  <si>
    <t>  1,032 </t>
  </si>
  <si>
    <t>Jan</t>
  </si>
  <si>
    <t>  1,003 </t>
  </si>
  <si>
    <t>  1,004 </t>
  </si>
  <si>
    <t>  1,005 </t>
  </si>
  <si>
    <t>Chlorine Test Kit</t>
  </si>
  <si>
    <t>  1,006 </t>
  </si>
  <si>
    <t>  1,009 </t>
  </si>
  <si>
    <t>  1,011 </t>
  </si>
  <si>
    <t>  1,015 </t>
  </si>
  <si>
    <t>July</t>
  </si>
  <si>
    <t>  1,103 </t>
  </si>
  <si>
    <t>  1,105 </t>
  </si>
  <si>
    <t>  1,112 </t>
  </si>
  <si>
    <t>  1,114 </t>
  </si>
  <si>
    <t>  1,115 </t>
  </si>
  <si>
    <t>  1,122 </t>
  </si>
  <si>
    <t>  1,124 </t>
  </si>
  <si>
    <t>Skimmer</t>
  </si>
  <si>
    <t>June</t>
  </si>
  <si>
    <t>  1,084 </t>
  </si>
  <si>
    <t>  1,086 </t>
  </si>
  <si>
    <t>  1,093 </t>
  </si>
  <si>
    <t>  1,095 </t>
  </si>
  <si>
    <t>  1,096 </t>
  </si>
  <si>
    <t>Mar</t>
  </si>
  <si>
    <t>  1,040 </t>
  </si>
  <si>
    <t>  1,045 </t>
  </si>
  <si>
    <t>  1,047 </t>
  </si>
  <si>
    <t>  1,048 </t>
  </si>
  <si>
    <t>May</t>
  </si>
  <si>
    <t>  1,062 </t>
  </si>
  <si>
    <t>  1,064 </t>
  </si>
  <si>
    <t>  1,069 </t>
  </si>
  <si>
    <t>  1,070 </t>
  </si>
  <si>
    <t>  1,071 </t>
  </si>
  <si>
    <t>  1,074 </t>
  </si>
  <si>
    <t>  1,076 </t>
  </si>
  <si>
    <t>  1,077 </t>
  </si>
  <si>
    <t>Nov</t>
  </si>
  <si>
    <t>  1,162 </t>
  </si>
  <si>
    <t>  1,164 </t>
  </si>
  <si>
    <t>  1,165 </t>
  </si>
  <si>
    <t>Oct</t>
  </si>
  <si>
    <t>  1,153 </t>
  </si>
  <si>
    <t>  1,155 </t>
  </si>
  <si>
    <t>Sept</t>
  </si>
  <si>
    <t>  1,143 </t>
  </si>
  <si>
    <t>  1,148 </t>
  </si>
  <si>
    <t>  1,149 </t>
  </si>
  <si>
    <t>  1,053 </t>
  </si>
  <si>
    <t>CA</t>
  </si>
  <si>
    <t>  1,056 </t>
  </si>
  <si>
    <t>  1,057 </t>
  </si>
  <si>
    <t>  1,125 </t>
  </si>
  <si>
    <t>  1,128 </t>
  </si>
  <si>
    <t>  1,130 </t>
  </si>
  <si>
    <t>  1,132 </t>
  </si>
  <si>
    <t>  1,137 </t>
  </si>
  <si>
    <t>  1,139 </t>
  </si>
  <si>
    <t>Dec</t>
  </si>
  <si>
    <t>  1,168 </t>
  </si>
  <si>
    <t>  1,170 </t>
  </si>
  <si>
    <t>  1,018 </t>
  </si>
  <si>
    <t>  1,031 </t>
  </si>
  <si>
    <t>  1,033 </t>
  </si>
  <si>
    <t>  1,002 </t>
  </si>
  <si>
    <t>  1,014 </t>
  </si>
  <si>
    <t>  1,016 </t>
  </si>
  <si>
    <t>  1,099 </t>
  </si>
  <si>
    <t>  1,101 </t>
  </si>
  <si>
    <t>  1,106 </t>
  </si>
  <si>
    <t>  1,109 </t>
  </si>
  <si>
    <t>  1,111 </t>
  </si>
  <si>
    <t>  1,113 </t>
  </si>
  <si>
    <t>  1,118 </t>
  </si>
  <si>
    <t>  1,120 </t>
  </si>
  <si>
    <t>  1,080 </t>
  </si>
  <si>
    <t>  1,082 </t>
  </si>
  <si>
    <t>  1,087 </t>
  </si>
  <si>
    <t>  1,090 </t>
  </si>
  <si>
    <t>  1,092 </t>
  </si>
  <si>
    <t>  1,094 </t>
  </si>
  <si>
    <t>  1,035 </t>
  </si>
  <si>
    <t>  1,039 </t>
  </si>
  <si>
    <t>  1,043 </t>
  </si>
  <si>
    <t>  1,044 </t>
  </si>
  <si>
    <t>  1,063 </t>
  </si>
  <si>
    <t>  1,068 </t>
  </si>
  <si>
    <t>  1,073 </t>
  </si>
  <si>
    <t>  1,075 </t>
  </si>
  <si>
    <t>  1,159 </t>
  </si>
  <si>
    <t>  1,161 </t>
  </si>
  <si>
    <t>  1,163 </t>
  </si>
  <si>
    <t>  1,151 </t>
  </si>
  <si>
    <t>  1,156 </t>
  </si>
  <si>
    <t>  1,144 </t>
  </si>
  <si>
    <t>  1,147 </t>
  </si>
  <si>
    <t>  1,049 </t>
  </si>
  <si>
    <t>CO</t>
  </si>
  <si>
    <t>  1,019 </t>
  </si>
  <si>
    <t>  1,021 </t>
  </si>
  <si>
    <t>  1,034 </t>
  </si>
  <si>
    <t>  1,010 </t>
  </si>
  <si>
    <t>  1,013 </t>
  </si>
  <si>
    <t>  1,126 </t>
  </si>
  <si>
    <t>NM</t>
  </si>
  <si>
    <t>  1,136 </t>
  </si>
  <si>
    <t>  1,167 </t>
  </si>
  <si>
    <t>  1,017 </t>
  </si>
  <si>
    <t>  1,023 </t>
  </si>
  <si>
    <t>  1,026 </t>
  </si>
  <si>
    <t>  1,001 </t>
  </si>
  <si>
    <t>  1,007 </t>
  </si>
  <si>
    <t>  1,008 </t>
  </si>
  <si>
    <t>  1,012 </t>
  </si>
  <si>
    <t>  1,107 </t>
  </si>
  <si>
    <t>  1,117 </t>
  </si>
  <si>
    <t>  1,079 </t>
  </si>
  <si>
    <t>  1,088 </t>
  </si>
  <si>
    <t>  1,098 </t>
  </si>
  <si>
    <t>  1,041 </t>
  </si>
  <si>
    <t>  1,042 </t>
  </si>
  <si>
    <t>  1,065 </t>
  </si>
  <si>
    <t>  1,157 </t>
  </si>
  <si>
    <t>  1,145 </t>
  </si>
  <si>
    <t>  1,054 </t>
  </si>
  <si>
    <t>NV</t>
  </si>
  <si>
    <t>  1,055 </t>
  </si>
  <si>
    <t>  1,060 </t>
  </si>
  <si>
    <t>  1,127 </t>
  </si>
  <si>
    <t>  1,129 </t>
  </si>
  <si>
    <t>  1,135 </t>
  </si>
  <si>
    <t>  1,140 </t>
  </si>
  <si>
    <t>  1,171 </t>
  </si>
  <si>
    <t>  1,020 </t>
  </si>
  <si>
    <t>  1,025 </t>
  </si>
  <si>
    <t>  1,027 </t>
  </si>
  <si>
    <t>  1,030 </t>
  </si>
  <si>
    <t>  1,102 </t>
  </si>
  <si>
    <t>  1,104 </t>
  </si>
  <si>
    <t>  1,108 </t>
  </si>
  <si>
    <t>  1,110 </t>
  </si>
  <si>
    <t>  1,116 </t>
  </si>
  <si>
    <t>  1,121 </t>
  </si>
  <si>
    <t>  1,123 </t>
  </si>
  <si>
    <t>  1,083 </t>
  </si>
  <si>
    <t>  1,085 </t>
  </si>
  <si>
    <t>  1,089 </t>
  </si>
  <si>
    <t>  1,091 </t>
  </si>
  <si>
    <t>  1,097 </t>
  </si>
  <si>
    <t>  1,036 </t>
  </si>
  <si>
    <t>  1,037 </t>
  </si>
  <si>
    <t>  1,038 </t>
  </si>
  <si>
    <t>  1,061 </t>
  </si>
  <si>
    <t>  1,066 </t>
  </si>
  <si>
    <t>  1,072 </t>
  </si>
  <si>
    <t>  1,078 </t>
  </si>
  <si>
    <t>  1,158 </t>
  </si>
  <si>
    <t>  1,160 </t>
  </si>
  <si>
    <t>  1,166 </t>
  </si>
  <si>
    <t>  1,152 </t>
  </si>
  <si>
    <t>  1,154 </t>
  </si>
  <si>
    <t>  1,142 </t>
  </si>
  <si>
    <t>  1,146 </t>
  </si>
  <si>
    <t>  1,051 </t>
  </si>
  <si>
    <t>UT</t>
  </si>
  <si>
    <t>  1,138 </t>
  </si>
  <si>
    <t>  1,169 </t>
  </si>
  <si>
    <t>  1,022 </t>
  </si>
  <si>
    <t>  1,024 </t>
  </si>
  <si>
    <t>  1,100 </t>
  </si>
  <si>
    <t>  1,119 </t>
  </si>
  <si>
    <t>  1,081 </t>
  </si>
  <si>
    <t>  1,046 </t>
  </si>
  <si>
    <t>  1,067 </t>
  </si>
  <si>
    <t>  1,150 </t>
  </si>
  <si>
    <t>Sum of all items</t>
  </si>
  <si>
    <t>Sum of the items price&gt;50</t>
  </si>
  <si>
    <t>Sum of the items price &lt; 50</t>
  </si>
  <si>
    <t>Sum of Sale Price</t>
  </si>
  <si>
    <t>Sum of Profit</t>
  </si>
  <si>
    <t>Sum of Commision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</si>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</sst>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sz val="9"/>
      <color rgb="FF000000"/>
      <name val="Calibri"/>
      <charset val="1"/>
    </font>
    <font>
      <sz val="9"/>
      <color theme="1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20.xlsx]Chart!PivotTable1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Chart!$B$3</c:f>
              <c:strCache>
                <c:ptCount val="1"/>
                <c:pt idx="0">
                  <c:v>Sum of Sale Price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03A-4BEB-8BDB-785D48174C2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3A-4BEB-8BDB-785D48174C2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03A-4BEB-8BDB-785D48174C2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3A-4BEB-8BDB-785D48174C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Chart!$A$4:$A$8</c:f>
              <c:strCache>
                <c:ptCount val="4"/>
                <c:pt idx="0">
                  <c:v>Barns</c:v>
                </c:pt>
                <c:pt idx="1">
                  <c:v>Smith</c:v>
                </c:pt>
                <c:pt idx="2">
                  <c:v>Johnson</c:v>
                </c:pt>
                <c:pt idx="3">
                  <c:v>Hernandez</c:v>
                </c:pt>
              </c:strCache>
            </c:strRef>
          </c:cat>
          <c:val>
            <c:numRef>
              <c:f>Chart!$B$4:$B$8</c:f>
              <c:numCache>
                <c:formatCode>General</c:formatCode>
                <c:ptCount val="4"/>
                <c:pt idx="0">
                  <c:v>6003.5</c:v>
                </c:pt>
                <c:pt idx="1">
                  <c:v>5661.1</c:v>
                </c:pt>
                <c:pt idx="2">
                  <c:v>3035.3000000000006</c:v>
                </c:pt>
                <c:pt idx="3">
                  <c:v>2410.6999999999994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4BEB-8BDB-785D48174C23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33-4E81-B129-FCC4C46A5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33-4E81-B129-FCC4C46A5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33-4E81-B129-FCC4C46A5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33-4E81-B129-FCC4C46A5B03}"/>
              </c:ext>
            </c:extLst>
          </c:dPt>
          <c:cat>
            <c:strRef>
              <c:f>Chart!$A$4:$A$8</c:f>
              <c:strCache>
                <c:ptCount val="4"/>
                <c:pt idx="0">
                  <c:v>Barns</c:v>
                </c:pt>
                <c:pt idx="1">
                  <c:v>Smith</c:v>
                </c:pt>
                <c:pt idx="2">
                  <c:v>Johnson</c:v>
                </c:pt>
                <c:pt idx="3">
                  <c:v>Hernandez</c:v>
                </c:pt>
              </c:strCache>
            </c:strRef>
          </c:cat>
          <c:val>
            <c:numRef>
              <c:f>Chart!$C$4:$C$8</c:f>
              <c:numCache>
                <c:formatCode>"$"#,##0.00</c:formatCode>
                <c:ptCount val="4"/>
                <c:pt idx="0">
                  <c:v>2015.1</c:v>
                </c:pt>
                <c:pt idx="1">
                  <c:v>2235.9000000000005</c:v>
                </c:pt>
                <c:pt idx="2">
                  <c:v>1084.0999999999999</c:v>
                </c:pt>
                <c:pt idx="3">
                  <c:v>1021.5999999999999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A-4BEB-8BDB-785D48174C23}"/>
            </c:ext>
          </c:extLst>
        </c:ser>
        <c:ser>
          <c:idx val="2"/>
          <c:order val="2"/>
          <c:tx>
            <c:strRef>
              <c:f>Chart!$D$3</c:f>
              <c:strCache>
                <c:ptCount val="1"/>
                <c:pt idx="0">
                  <c:v>Sum of Commision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33-4E81-B129-FCC4C46A5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C33-4E81-B129-FCC4C46A5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C33-4E81-B129-FCC4C46A5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C33-4E81-B129-FCC4C46A5B03}"/>
              </c:ext>
            </c:extLst>
          </c:dPt>
          <c:cat>
            <c:strRef>
              <c:f>Chart!$A$4:$A$8</c:f>
              <c:strCache>
                <c:ptCount val="4"/>
                <c:pt idx="0">
                  <c:v>Barns</c:v>
                </c:pt>
                <c:pt idx="1">
                  <c:v>Smith</c:v>
                </c:pt>
                <c:pt idx="2">
                  <c:v>Johnson</c:v>
                </c:pt>
                <c:pt idx="3">
                  <c:v>Hernandez</c:v>
                </c:pt>
              </c:strCache>
            </c:strRef>
          </c:cat>
          <c:val>
            <c:numRef>
              <c:f>Chart!$D$4:$D$8</c:f>
              <c:numCache>
                <c:formatCode>"$"#,##0.00</c:formatCode>
                <c:ptCount val="4"/>
                <c:pt idx="0">
                  <c:v>396.75000000000017</c:v>
                </c:pt>
                <c:pt idx="1">
                  <c:v>432.77000000000021</c:v>
                </c:pt>
                <c:pt idx="2">
                  <c:v>209.45000000000005</c:v>
                </c:pt>
                <c:pt idx="3">
                  <c:v>193.81000000000006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3A-4BEB-8BDB-785D4817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19050</xdr:rowOff>
    </xdr:from>
    <xdr:to>
      <xdr:col>3</xdr:col>
      <xdr:colOff>981075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3B227-AD57-8599-5FAC-97EC15C8A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542251157407" createdVersion="8" refreshedVersion="8" minRefreshableVersion="3" recordCount="171" xr:uid="{70BE1B25-2B64-4BD5-9A98-C48ADC70576A}">
  <cacheSource type="worksheet">
    <worksheetSource ref="A1:K172" sheet="Sales Report"/>
  </cacheSource>
  <cacheFields count="11">
    <cacheField name="Month" numFmtId="0">
      <sharedItems/>
    </cacheField>
    <cacheField name="Transaction Number" numFmtId="0">
      <sharedItems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/>
    </cacheField>
    <cacheField name="Profit" numFmtId="164">
      <sharedItems containsSemiMixedTypes="0" containsString="0" containsNumber="1" minValue="2.9999999999999991" maxValue="158"/>
    </cacheField>
    <cacheField name="Commision 10% for the item less than $50 but 20% for the item  more than $50" numFmtId="16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Smith"/>
        <s v="Johnson"/>
        <s v="Hernandez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April"/>
    <s v="  1,050 "/>
    <n v="2877"/>
    <s v="Net"/>
    <n v="11.4"/>
    <n v="16.3"/>
    <n v="4.9000000000000004"/>
    <n v="0.49000000000000005"/>
    <s v="Chalie"/>
    <x v="0"/>
    <s v="AZ"/>
  </r>
  <r>
    <s v="April"/>
    <s v="  1,052 "/>
    <n v="6622"/>
    <s v="5 Gal Chlorine"/>
    <n v="42"/>
    <n v="77"/>
    <n v="35"/>
    <n v="7"/>
    <s v="Doug"/>
    <x v="1"/>
    <s v="AZ"/>
  </r>
  <r>
    <s v="April"/>
    <s v="  1,058 "/>
    <n v="6119"/>
    <s v="Algea Killer 8 oz"/>
    <n v="9"/>
    <n v="14"/>
    <n v="5"/>
    <n v="0.5"/>
    <s v="Hellen"/>
    <x v="2"/>
    <s v="AZ"/>
  </r>
  <r>
    <s v="April"/>
    <s v="  1,059 "/>
    <n v="2242"/>
    <s v="AutoVac"/>
    <n v="60"/>
    <n v="124"/>
    <n v="64"/>
    <n v="12.8"/>
    <s v="Doug"/>
    <x v="1"/>
    <s v="AZ"/>
  </r>
  <r>
    <s v="Aug"/>
    <s v="  1,131 "/>
    <n v="9212"/>
    <s v="1 Gal Muratic Acid"/>
    <n v="4"/>
    <n v="7"/>
    <n v="3"/>
    <n v="0.30000000000000004"/>
    <s v="Hellen"/>
    <x v="2"/>
    <s v="AZ"/>
  </r>
  <r>
    <s v="Aug"/>
    <s v="  1,133 "/>
    <n v="9822"/>
    <s v="Pool Cover"/>
    <n v="58.3"/>
    <n v="98.4"/>
    <n v="40.100000000000009"/>
    <n v="8.0200000000000014"/>
    <s v="Chalie"/>
    <x v="0"/>
    <s v="AZ"/>
  </r>
  <r>
    <s v="Aug"/>
    <s v="  1,134 "/>
    <n v="9822"/>
    <s v="Pool Cover"/>
    <n v="58.3"/>
    <n v="98.4"/>
    <n v="40.100000000000009"/>
    <n v="8.0200000000000014"/>
    <s v="Doug"/>
    <x v="1"/>
    <s v="AZ"/>
  </r>
  <r>
    <s v="Aug"/>
    <s v="  1,141 "/>
    <n v="9212"/>
    <s v="1 Gal Muratic Acid"/>
    <n v="4"/>
    <n v="7"/>
    <n v="3"/>
    <n v="0.30000000000000004"/>
    <s v="Juan"/>
    <x v="3"/>
    <s v="AZ"/>
  </r>
  <r>
    <s v="Feb"/>
    <s v="  1,028 "/>
    <n v="8722"/>
    <s v="Water Pump"/>
    <n v="344"/>
    <n v="502"/>
    <n v="158"/>
    <n v="31.6"/>
    <s v="Chalie"/>
    <x v="0"/>
    <s v="AZ"/>
  </r>
  <r>
    <s v="Feb"/>
    <s v="  1,029 "/>
    <n v="2499"/>
    <s v="8 ft Hose"/>
    <n v="6.2"/>
    <n v="9.1999999999999993"/>
    <n v="2.9999999999999991"/>
    <n v="0.29999999999999993"/>
    <s v="Juan"/>
    <x v="3"/>
    <s v="AZ"/>
  </r>
  <r>
    <s v="Feb"/>
    <s v="  1,032 "/>
    <n v="2877"/>
    <s v="Net"/>
    <n v="11.4"/>
    <n v="16.3"/>
    <n v="4.9000000000000004"/>
    <n v="0.49000000000000005"/>
    <s v="Chalie"/>
    <x v="0"/>
    <s v="AZ"/>
  </r>
  <r>
    <s v="Jan"/>
    <s v="  1,003 "/>
    <n v="2499"/>
    <s v="8 ft Hose"/>
    <n v="6.2"/>
    <n v="9.1999999999999993"/>
    <n v="2.9999999999999991"/>
    <n v="0.29999999999999993"/>
    <s v="Doug"/>
    <x v="1"/>
    <s v="AZ"/>
  </r>
  <r>
    <s v="Jan"/>
    <s v="  1,004 "/>
    <n v="8722"/>
    <s v="Water Pump"/>
    <n v="344"/>
    <n v="502"/>
    <n v="158"/>
    <n v="31.6"/>
    <s v="Chalie"/>
    <x v="0"/>
    <s v="AZ"/>
  </r>
  <r>
    <s v="Jan"/>
    <s v="  1,005 "/>
    <n v="1109"/>
    <s v="Chlorine Test Kit"/>
    <n v="3"/>
    <n v="8"/>
    <n v="5"/>
    <n v="0.5"/>
    <s v="Doug"/>
    <x v="1"/>
    <s v="AZ"/>
  </r>
  <r>
    <s v="Jan"/>
    <s v="  1,006 "/>
    <n v="9822"/>
    <s v="Pool Cover"/>
    <n v="58.3"/>
    <n v="98.4"/>
    <n v="40.100000000000009"/>
    <n v="8.0200000000000014"/>
    <s v="Doug"/>
    <x v="1"/>
    <s v="AZ"/>
  </r>
  <r>
    <s v="Jan"/>
    <s v="  1,009 "/>
    <n v="1109"/>
    <s v="Chlorine Test Kit"/>
    <n v="3"/>
    <n v="8"/>
    <n v="5"/>
    <n v="0.5"/>
    <s v="Doug"/>
    <x v="1"/>
    <s v="AZ"/>
  </r>
  <r>
    <s v="Jan"/>
    <s v="  1,011 "/>
    <n v="2877"/>
    <s v="Net"/>
    <n v="11.4"/>
    <n v="16.3"/>
    <n v="4.9000000000000004"/>
    <n v="0.49000000000000005"/>
    <s v="Juan"/>
    <x v="3"/>
    <s v="AZ"/>
  </r>
  <r>
    <s v="Jan"/>
    <s v="  1,015 "/>
    <n v="2877"/>
    <s v="Net"/>
    <n v="11.4"/>
    <n v="16.3"/>
    <n v="4.9000000000000004"/>
    <n v="0.49000000000000005"/>
    <s v="Hellen"/>
    <x v="2"/>
    <s v="AZ"/>
  </r>
  <r>
    <s v="July"/>
    <s v="  1,103 "/>
    <n v="2877"/>
    <s v="Net"/>
    <n v="11.4"/>
    <n v="16.3"/>
    <n v="4.9000000000000004"/>
    <n v="0.49000000000000005"/>
    <s v="Juan"/>
    <x v="3"/>
    <s v="AZ"/>
  </r>
  <r>
    <s v="July"/>
    <s v="  1,105 "/>
    <n v="2499"/>
    <s v="8 ft Hose"/>
    <n v="6.2"/>
    <n v="9.1999999999999993"/>
    <n v="2.9999999999999991"/>
    <n v="0.29999999999999993"/>
    <s v="Juan"/>
    <x v="3"/>
    <s v="AZ"/>
  </r>
  <r>
    <s v="July"/>
    <s v="  1,112 "/>
    <n v="6622"/>
    <s v="5 Gal Chlorine"/>
    <n v="42"/>
    <n v="77"/>
    <n v="35"/>
    <n v="7"/>
    <s v="Doug"/>
    <x v="1"/>
    <s v="AZ"/>
  </r>
  <r>
    <s v="July"/>
    <s v="  1,114 "/>
    <n v="2242"/>
    <s v="AutoVac"/>
    <n v="60"/>
    <n v="124"/>
    <n v="64"/>
    <n v="12.8"/>
    <s v="Juan"/>
    <x v="3"/>
    <s v="AZ"/>
  </r>
  <r>
    <s v="July"/>
    <s v="  1,115 "/>
    <n v="8722"/>
    <s v="Water Pump"/>
    <n v="344"/>
    <n v="502"/>
    <n v="158"/>
    <n v="31.6"/>
    <s v="Chalie"/>
    <x v="0"/>
    <s v="AZ"/>
  </r>
  <r>
    <s v="July"/>
    <s v="  1,122 "/>
    <n v="8722"/>
    <s v="Water Pump"/>
    <n v="344"/>
    <n v="502"/>
    <n v="158"/>
    <n v="31.6"/>
    <s v="Doug"/>
    <x v="1"/>
    <s v="AZ"/>
  </r>
  <r>
    <s v="July"/>
    <s v="  1,124 "/>
    <n v="4421"/>
    <s v="Skimmer"/>
    <n v="45"/>
    <n v="87"/>
    <n v="42"/>
    <n v="8.4"/>
    <s v="Doug"/>
    <x v="1"/>
    <s v="AZ"/>
  </r>
  <r>
    <s v="June"/>
    <s v="  1,084 "/>
    <n v="6119"/>
    <s v="Algea Killer 8 oz"/>
    <n v="9"/>
    <n v="14"/>
    <n v="5"/>
    <n v="0.5"/>
    <s v="Chalie"/>
    <x v="0"/>
    <s v="AZ"/>
  </r>
  <r>
    <s v="June"/>
    <s v="  1,086 "/>
    <n v="1109"/>
    <s v="Chlorine Test Kit"/>
    <n v="3"/>
    <n v="8"/>
    <n v="5"/>
    <n v="0.5"/>
    <s v="Hellen"/>
    <x v="2"/>
    <s v="AZ"/>
  </r>
  <r>
    <s v="June"/>
    <s v="  1,093 "/>
    <n v="6119"/>
    <s v="Algea Killer 8 oz"/>
    <n v="9"/>
    <n v="14"/>
    <n v="5"/>
    <n v="0.5"/>
    <s v="Juan"/>
    <x v="3"/>
    <s v="AZ"/>
  </r>
  <r>
    <s v="June"/>
    <s v="  1,095 "/>
    <n v="2499"/>
    <s v="8 ft Hose"/>
    <n v="6.2"/>
    <n v="9.1999999999999993"/>
    <n v="2.9999999999999991"/>
    <n v="0.29999999999999993"/>
    <s v="Hellen"/>
    <x v="2"/>
    <s v="AZ"/>
  </r>
  <r>
    <s v="June"/>
    <s v="  1,096 "/>
    <n v="6119"/>
    <s v="Algea Killer 8 oz"/>
    <n v="9"/>
    <n v="14"/>
    <n v="5"/>
    <n v="0.5"/>
    <s v="Doug"/>
    <x v="1"/>
    <s v="AZ"/>
  </r>
  <r>
    <s v="Mar"/>
    <s v="  1,040 "/>
    <n v="1109"/>
    <s v="Chlorine Test Kit"/>
    <n v="3"/>
    <n v="8"/>
    <n v="5"/>
    <n v="0.5"/>
    <s v="Juan"/>
    <x v="3"/>
    <s v="AZ"/>
  </r>
  <r>
    <s v="Mar"/>
    <s v="  1,045 "/>
    <n v="8722"/>
    <s v="Water Pump"/>
    <n v="344"/>
    <n v="502"/>
    <n v="158"/>
    <n v="31.6"/>
    <s v="Hellen"/>
    <x v="2"/>
    <s v="AZ"/>
  </r>
  <r>
    <s v="Mar"/>
    <s v="  1,047 "/>
    <n v="6622"/>
    <s v="5 Gal Chlorine"/>
    <n v="42"/>
    <n v="77"/>
    <n v="35"/>
    <n v="7"/>
    <s v="Hellen"/>
    <x v="2"/>
    <s v="AZ"/>
  </r>
  <r>
    <s v="Mar"/>
    <s v="  1,048 "/>
    <n v="8722"/>
    <s v="Water Pump"/>
    <n v="344"/>
    <n v="502"/>
    <n v="158"/>
    <n v="31.6"/>
    <s v="Chalie"/>
    <x v="0"/>
    <s v="AZ"/>
  </r>
  <r>
    <s v="May"/>
    <s v="  1,062 "/>
    <n v="2499"/>
    <s v="8 ft Hose"/>
    <n v="6.2"/>
    <n v="9.1999999999999993"/>
    <n v="2.9999999999999991"/>
    <n v="0.29999999999999993"/>
    <s v="Chalie"/>
    <x v="0"/>
    <s v="AZ"/>
  </r>
  <r>
    <s v="May"/>
    <s v="  1,064 "/>
    <n v="2499"/>
    <s v="8 ft Hose"/>
    <n v="6.2"/>
    <n v="9.1999999999999993"/>
    <n v="2.9999999999999991"/>
    <n v="0.29999999999999993"/>
    <s v="Hellen"/>
    <x v="2"/>
    <s v="AZ"/>
  </r>
  <r>
    <s v="May"/>
    <s v="  1,069 "/>
    <n v="1109"/>
    <s v="Chlorine Test Kit"/>
    <n v="3"/>
    <n v="8"/>
    <n v="5"/>
    <n v="0.5"/>
    <s v="Doug"/>
    <x v="1"/>
    <s v="AZ"/>
  </r>
  <r>
    <s v="May"/>
    <s v="  1,070 "/>
    <n v="2499"/>
    <s v="8 ft Hose"/>
    <n v="6.2"/>
    <n v="9.1999999999999993"/>
    <n v="2.9999999999999991"/>
    <n v="0.29999999999999993"/>
    <s v="Hellen"/>
    <x v="2"/>
    <s v="AZ"/>
  </r>
  <r>
    <s v="May"/>
    <s v="  1,071 "/>
    <n v="1109"/>
    <s v="Chlorine Test Kit"/>
    <n v="3"/>
    <n v="8"/>
    <n v="5"/>
    <n v="0.5"/>
    <s v="Chalie"/>
    <x v="0"/>
    <s v="AZ"/>
  </r>
  <r>
    <s v="May"/>
    <s v="  1,074 "/>
    <n v="2877"/>
    <s v="Net"/>
    <n v="11.4"/>
    <n v="16.3"/>
    <n v="4.9000000000000004"/>
    <n v="0.49000000000000005"/>
    <s v="Doug"/>
    <x v="1"/>
    <s v="AZ"/>
  </r>
  <r>
    <s v="May"/>
    <s v="  1,076 "/>
    <n v="1109"/>
    <s v="Chlorine Test Kit"/>
    <n v="3"/>
    <n v="8"/>
    <n v="5"/>
    <n v="0.5"/>
    <s v="Juan"/>
    <x v="3"/>
    <s v="AZ"/>
  </r>
  <r>
    <s v="May"/>
    <s v="  1,077 "/>
    <n v="9822"/>
    <s v="Pool Cover"/>
    <n v="58.3"/>
    <n v="98.4"/>
    <n v="40.100000000000009"/>
    <n v="8.0200000000000014"/>
    <s v="Hellen"/>
    <x v="2"/>
    <s v="AZ"/>
  </r>
  <r>
    <s v="Nov"/>
    <s v="  1,162 "/>
    <n v="9212"/>
    <s v="1 Gal Muratic Acid"/>
    <n v="4"/>
    <n v="7"/>
    <n v="3"/>
    <n v="0.30000000000000004"/>
    <s v="Chalie"/>
    <x v="0"/>
    <s v="AZ"/>
  </r>
  <r>
    <s v="Nov"/>
    <s v="  1,164 "/>
    <n v="9822"/>
    <s v="Pool Cover"/>
    <n v="58.3"/>
    <n v="98.4"/>
    <n v="40.100000000000009"/>
    <n v="8.0200000000000014"/>
    <s v="Doug"/>
    <x v="1"/>
    <s v="AZ"/>
  </r>
  <r>
    <s v="Nov"/>
    <s v="  1,165 "/>
    <n v="9822"/>
    <s v="Pool Cover"/>
    <n v="58.3"/>
    <n v="98.4"/>
    <n v="40.100000000000009"/>
    <n v="8.0200000000000014"/>
    <s v="Doug"/>
    <x v="1"/>
    <s v="AZ"/>
  </r>
  <r>
    <s v="Oct"/>
    <s v="  1,153 "/>
    <n v="8722"/>
    <s v="Water Pump"/>
    <n v="344"/>
    <n v="502"/>
    <n v="158"/>
    <n v="31.6"/>
    <s v="Doug"/>
    <x v="1"/>
    <s v="AZ"/>
  </r>
  <r>
    <s v="Oct"/>
    <s v="  1,155 "/>
    <n v="4421"/>
    <s v="Skimmer"/>
    <n v="45"/>
    <n v="87"/>
    <n v="42"/>
    <n v="8.4"/>
    <s v="Doug"/>
    <x v="1"/>
    <s v="AZ"/>
  </r>
  <r>
    <s v="Sept"/>
    <s v="  1,143 "/>
    <n v="9822"/>
    <s v="Pool Cover"/>
    <n v="58.3"/>
    <n v="98.4"/>
    <n v="40.100000000000009"/>
    <n v="8.0200000000000014"/>
    <s v="Hellen"/>
    <x v="2"/>
    <s v="AZ"/>
  </r>
  <r>
    <s v="Sept"/>
    <s v="  1,148 "/>
    <n v="9212"/>
    <s v="1 Gal Muratic Acid"/>
    <n v="4"/>
    <n v="7"/>
    <n v="3"/>
    <n v="0.30000000000000004"/>
    <s v="Doug"/>
    <x v="1"/>
    <s v="AZ"/>
  </r>
  <r>
    <s v="Sept"/>
    <s v="  1,149 "/>
    <n v="8722"/>
    <s v="Water Pump"/>
    <n v="344"/>
    <n v="502"/>
    <n v="158"/>
    <n v="31.6"/>
    <s v="Chalie"/>
    <x v="0"/>
    <s v="AZ"/>
  </r>
  <r>
    <s v="April"/>
    <s v="  1,053 "/>
    <n v="2242"/>
    <s v="AutoVac"/>
    <n v="60"/>
    <n v="124"/>
    <n v="64"/>
    <n v="12.8"/>
    <s v="Chalie"/>
    <x v="0"/>
    <s v="CA"/>
  </r>
  <r>
    <s v="April"/>
    <s v="  1,056 "/>
    <n v="1109"/>
    <s v="Chlorine Test Kit"/>
    <n v="3"/>
    <n v="8"/>
    <n v="5"/>
    <n v="0.5"/>
    <s v="Doug"/>
    <x v="1"/>
    <s v="CA"/>
  </r>
  <r>
    <s v="April"/>
    <s v="  1,057 "/>
    <n v="2499"/>
    <s v="8 ft Hose"/>
    <n v="6.2"/>
    <n v="9.1999999999999993"/>
    <n v="2.9999999999999991"/>
    <n v="0.29999999999999993"/>
    <s v="Juan"/>
    <x v="3"/>
    <s v="CA"/>
  </r>
  <r>
    <s v="Aug"/>
    <s v="  1,125 "/>
    <n v="2242"/>
    <s v="AutoVac"/>
    <n v="60"/>
    <n v="124"/>
    <n v="64"/>
    <n v="12.8"/>
    <s v="Doug"/>
    <x v="1"/>
    <s v="CA"/>
  </r>
  <r>
    <s v="Aug"/>
    <s v="  1,128 "/>
    <n v="6622"/>
    <s v="5 Gal Chlorine"/>
    <n v="42"/>
    <n v="77"/>
    <n v="35"/>
    <n v="7"/>
    <s v="Juan"/>
    <x v="3"/>
    <s v="CA"/>
  </r>
  <r>
    <s v="Aug"/>
    <s v="  1,130 "/>
    <n v="4421"/>
    <s v="Skimmer"/>
    <n v="45"/>
    <n v="87"/>
    <n v="42"/>
    <n v="8.4"/>
    <s v="Hellen"/>
    <x v="2"/>
    <s v="CA"/>
  </r>
  <r>
    <s v="Aug"/>
    <s v="  1,132 "/>
    <n v="9212"/>
    <s v="1 Gal Muratic Acid"/>
    <n v="4"/>
    <n v="7"/>
    <n v="3"/>
    <n v="0.30000000000000004"/>
    <s v="Hellen"/>
    <x v="2"/>
    <s v="CA"/>
  </r>
  <r>
    <s v="Aug"/>
    <s v="  1,137 "/>
    <n v="9822"/>
    <s v="Pool Cover"/>
    <n v="58.3"/>
    <n v="98.4"/>
    <n v="40.100000000000009"/>
    <n v="8.0200000000000014"/>
    <s v="Juan"/>
    <x v="3"/>
    <s v="CA"/>
  </r>
  <r>
    <s v="Aug"/>
    <s v="  1,139 "/>
    <n v="4421"/>
    <s v="Skimmer"/>
    <n v="45"/>
    <n v="87"/>
    <n v="42"/>
    <n v="8.4"/>
    <s v="Doug"/>
    <x v="1"/>
    <s v="CA"/>
  </r>
  <r>
    <s v="Dec"/>
    <s v="  1,168 "/>
    <n v="9822"/>
    <s v="Pool Cover"/>
    <n v="58.3"/>
    <n v="98.4"/>
    <n v="40.100000000000009"/>
    <n v="8.0200000000000014"/>
    <s v="Doug"/>
    <x v="1"/>
    <s v="CA"/>
  </r>
  <r>
    <s v="Dec"/>
    <s v="  1,170 "/>
    <n v="4421"/>
    <s v="Skimmer"/>
    <n v="45"/>
    <n v="87"/>
    <n v="42"/>
    <n v="8.4"/>
    <s v="Chalie"/>
    <x v="0"/>
    <s v="CA"/>
  </r>
  <r>
    <s v="Feb"/>
    <s v="  1,018 "/>
    <n v="1109"/>
    <s v="Chlorine Test Kit"/>
    <n v="3"/>
    <n v="8"/>
    <n v="5"/>
    <n v="0.5"/>
    <s v="Doug"/>
    <x v="1"/>
    <s v="CA"/>
  </r>
  <r>
    <s v="Feb"/>
    <s v="  1,031 "/>
    <n v="1109"/>
    <s v="Chlorine Test Kit"/>
    <n v="3"/>
    <n v="8"/>
    <n v="5"/>
    <n v="0.5"/>
    <s v="Juan"/>
    <x v="3"/>
    <s v="CA"/>
  </r>
  <r>
    <s v="Feb"/>
    <s v="  1,033 "/>
    <n v="9822"/>
    <s v="Pool Cover"/>
    <n v="58.3"/>
    <n v="98.4"/>
    <n v="40.100000000000009"/>
    <n v="8.0200000000000014"/>
    <s v="Juan"/>
    <x v="3"/>
    <s v="CA"/>
  </r>
  <r>
    <s v="Jan"/>
    <s v="  1,002 "/>
    <n v="2877"/>
    <s v="Net"/>
    <n v="11.4"/>
    <n v="16.3"/>
    <n v="4.9000000000000004"/>
    <n v="0.49000000000000005"/>
    <s v="Juan"/>
    <x v="3"/>
    <s v="CA"/>
  </r>
  <r>
    <s v="Jan"/>
    <s v="  1,014 "/>
    <n v="8722"/>
    <s v="Water Pump"/>
    <n v="344"/>
    <n v="502"/>
    <n v="158"/>
    <n v="31.6"/>
    <s v="Chalie"/>
    <x v="0"/>
    <s v="CA"/>
  </r>
  <r>
    <s v="Jan"/>
    <s v="  1,016 "/>
    <n v="2499"/>
    <s v="8 ft Hose"/>
    <n v="6.2"/>
    <n v="9.1999999999999993"/>
    <n v="2.9999999999999991"/>
    <n v="0.29999999999999993"/>
    <s v="Doug"/>
    <x v="1"/>
    <s v="CA"/>
  </r>
  <r>
    <s v="July"/>
    <s v="  1,099 "/>
    <n v="2877"/>
    <s v="Net"/>
    <n v="11.4"/>
    <n v="16.3"/>
    <n v="4.9000000000000004"/>
    <n v="0.49000000000000005"/>
    <s v="Doug"/>
    <x v="1"/>
    <s v="CA"/>
  </r>
  <r>
    <s v="July"/>
    <s v="  1,101 "/>
    <n v="2499"/>
    <s v="8 ft Hose"/>
    <n v="6.2"/>
    <n v="9.1999999999999993"/>
    <n v="2.9999999999999991"/>
    <n v="0.29999999999999993"/>
    <s v="Doug"/>
    <x v="1"/>
    <s v="CA"/>
  </r>
  <r>
    <s v="July"/>
    <s v="  1,106 "/>
    <n v="9822"/>
    <s v="Pool Cover"/>
    <n v="58.3"/>
    <n v="98.4"/>
    <n v="40.100000000000009"/>
    <n v="8.0200000000000014"/>
    <s v="Juan"/>
    <x v="3"/>
    <s v="CA"/>
  </r>
  <r>
    <s v="July"/>
    <s v="  1,109 "/>
    <n v="8722"/>
    <s v="Water Pump"/>
    <n v="344"/>
    <n v="502"/>
    <n v="158"/>
    <n v="31.6"/>
    <s v="Juan"/>
    <x v="3"/>
    <s v="CA"/>
  </r>
  <r>
    <s v="July"/>
    <s v="  1,111 "/>
    <n v="6622"/>
    <s v="5 Gal Chlorine"/>
    <n v="42"/>
    <n v="77"/>
    <n v="35"/>
    <n v="7"/>
    <s v="Hellen"/>
    <x v="2"/>
    <s v="CA"/>
  </r>
  <r>
    <s v="July"/>
    <s v="  1,113 "/>
    <n v="9822"/>
    <s v="Pool Cover"/>
    <n v="58.3"/>
    <n v="98.4"/>
    <n v="40.100000000000009"/>
    <n v="8.0200000000000014"/>
    <s v="Chalie"/>
    <x v="0"/>
    <s v="CA"/>
  </r>
  <r>
    <s v="July"/>
    <s v="  1,118 "/>
    <n v="9822"/>
    <s v="Pool Cover"/>
    <n v="58.3"/>
    <n v="98.4"/>
    <n v="40.100000000000009"/>
    <n v="8.0200000000000014"/>
    <s v="Juan"/>
    <x v="3"/>
    <s v="CA"/>
  </r>
  <r>
    <s v="July"/>
    <s v="  1,120 "/>
    <n v="2242"/>
    <s v="AutoVac"/>
    <n v="60"/>
    <n v="124"/>
    <n v="64"/>
    <n v="12.8"/>
    <s v="Doug"/>
    <x v="1"/>
    <s v="CA"/>
  </r>
  <r>
    <s v="June"/>
    <s v="  1,080 "/>
    <n v="4421"/>
    <s v="Skimmer"/>
    <n v="45"/>
    <n v="87"/>
    <n v="42"/>
    <n v="8.4"/>
    <s v="Doug"/>
    <x v="1"/>
    <s v="CA"/>
  </r>
  <r>
    <s v="June"/>
    <s v="  1,082 "/>
    <n v="1109"/>
    <s v="Chlorine Test Kit"/>
    <n v="3"/>
    <n v="8"/>
    <n v="5"/>
    <n v="0.5"/>
    <s v="Chalie"/>
    <x v="0"/>
    <s v="CA"/>
  </r>
  <r>
    <s v="June"/>
    <s v="  1,087 "/>
    <n v="2499"/>
    <s v="8 ft Hose"/>
    <n v="6.2"/>
    <n v="9.1999999999999993"/>
    <n v="2.9999999999999991"/>
    <n v="0.29999999999999993"/>
    <s v="Chalie"/>
    <x v="0"/>
    <s v="CA"/>
  </r>
  <r>
    <s v="June"/>
    <s v="  1,090 "/>
    <n v="2877"/>
    <s v="Net"/>
    <n v="11.4"/>
    <n v="16.3"/>
    <n v="4.9000000000000004"/>
    <n v="0.49000000000000005"/>
    <s v="Chalie"/>
    <x v="0"/>
    <s v="CA"/>
  </r>
  <r>
    <s v="June"/>
    <s v="  1,092 "/>
    <n v="2877"/>
    <s v="Net"/>
    <n v="11.4"/>
    <n v="16.3"/>
    <n v="4.9000000000000004"/>
    <n v="0.49000000000000005"/>
    <s v="Doug"/>
    <x v="1"/>
    <s v="CA"/>
  </r>
  <r>
    <s v="June"/>
    <s v="  1,094 "/>
    <n v="6119"/>
    <s v="Algea Killer 8 oz"/>
    <n v="9"/>
    <n v="14"/>
    <n v="5"/>
    <n v="0.5"/>
    <s v="Doug"/>
    <x v="1"/>
    <s v="CA"/>
  </r>
  <r>
    <s v="Mar"/>
    <s v="  1,035 "/>
    <n v="2499"/>
    <s v="8 ft Hose"/>
    <n v="6.2"/>
    <n v="9.1999999999999993"/>
    <n v="2.9999999999999991"/>
    <n v="0.29999999999999993"/>
    <s v="Hellen"/>
    <x v="2"/>
    <s v="CA"/>
  </r>
  <r>
    <s v="Mar"/>
    <s v="  1,039 "/>
    <n v="2877"/>
    <s v="Net"/>
    <n v="11.4"/>
    <n v="16.3"/>
    <n v="4.9000000000000004"/>
    <n v="0.49000000000000005"/>
    <s v="Juan"/>
    <x v="3"/>
    <s v="CA"/>
  </r>
  <r>
    <s v="Mar"/>
    <s v="  1,043 "/>
    <n v="2242"/>
    <s v="AutoVac"/>
    <n v="60"/>
    <n v="124"/>
    <n v="64"/>
    <n v="12.8"/>
    <s v="Doug"/>
    <x v="1"/>
    <s v="CA"/>
  </r>
  <r>
    <s v="Mar"/>
    <s v="  1,044 "/>
    <n v="2877"/>
    <s v="Net"/>
    <n v="11.4"/>
    <n v="16.3"/>
    <n v="4.9000000000000004"/>
    <n v="0.49000000000000005"/>
    <s v="Doug"/>
    <x v="1"/>
    <s v="CA"/>
  </r>
  <r>
    <s v="May"/>
    <s v="  1,063 "/>
    <n v="1109"/>
    <s v="Chlorine Test Kit"/>
    <n v="3"/>
    <n v="8"/>
    <n v="5"/>
    <n v="0.5"/>
    <s v="Doug"/>
    <x v="1"/>
    <s v="CA"/>
  </r>
  <r>
    <s v="May"/>
    <s v="  1,068 "/>
    <n v="6119"/>
    <s v="Algea Killer 8 oz"/>
    <n v="9"/>
    <n v="14"/>
    <n v="5"/>
    <n v="0.5"/>
    <s v="Juan"/>
    <x v="3"/>
    <s v="CA"/>
  </r>
  <r>
    <s v="May"/>
    <s v="  1,073 "/>
    <n v="6622"/>
    <s v="5 Gal Chlorine"/>
    <n v="42"/>
    <n v="77"/>
    <n v="35"/>
    <n v="7"/>
    <s v="Doug"/>
    <x v="1"/>
    <s v="CA"/>
  </r>
  <r>
    <s v="May"/>
    <s v="  1,075 "/>
    <n v="1109"/>
    <s v="Chlorine Test Kit"/>
    <n v="3"/>
    <n v="8"/>
    <n v="5"/>
    <n v="0.5"/>
    <s v="Hellen"/>
    <x v="2"/>
    <s v="CA"/>
  </r>
  <r>
    <s v="Nov"/>
    <s v="  1,159 "/>
    <n v="6622"/>
    <s v="5 Gal Chlorine"/>
    <n v="42"/>
    <n v="77"/>
    <n v="35"/>
    <n v="7"/>
    <s v="Doug"/>
    <x v="1"/>
    <s v="CA"/>
  </r>
  <r>
    <s v="Nov"/>
    <s v="  1,161 "/>
    <n v="4421"/>
    <s v="Skimmer"/>
    <n v="45"/>
    <n v="87"/>
    <n v="42"/>
    <n v="8.4"/>
    <s v="Juan"/>
    <x v="3"/>
    <s v="CA"/>
  </r>
  <r>
    <s v="Nov"/>
    <s v="  1,163 "/>
    <n v="9212"/>
    <s v="1 Gal Muratic Acid"/>
    <n v="4"/>
    <n v="7"/>
    <n v="3"/>
    <n v="0.30000000000000004"/>
    <s v="Doug"/>
    <x v="1"/>
    <s v="CA"/>
  </r>
  <r>
    <s v="Oct"/>
    <s v="  1,151 "/>
    <n v="2242"/>
    <s v="AutoVac"/>
    <n v="60"/>
    <n v="124"/>
    <n v="64"/>
    <n v="12.8"/>
    <s v="Juan"/>
    <x v="3"/>
    <s v="CA"/>
  </r>
  <r>
    <s v="Oct"/>
    <s v="  1,156 "/>
    <n v="2242"/>
    <s v="AutoVac"/>
    <n v="60"/>
    <n v="124"/>
    <n v="64"/>
    <n v="12.8"/>
    <s v="Doug"/>
    <x v="1"/>
    <s v="CA"/>
  </r>
  <r>
    <s v="Sept"/>
    <s v="  1,144 "/>
    <n v="2242"/>
    <s v="AutoVac"/>
    <n v="60"/>
    <n v="124"/>
    <n v="64"/>
    <n v="12.8"/>
    <s v="Hellen"/>
    <x v="2"/>
    <s v="CA"/>
  </r>
  <r>
    <s v="Sept"/>
    <s v="  1,147 "/>
    <n v="9822"/>
    <s v="Pool Cover"/>
    <n v="58.3"/>
    <n v="98.4"/>
    <n v="40.100000000000009"/>
    <n v="8.0200000000000014"/>
    <s v="Chalie"/>
    <x v="0"/>
    <s v="CA"/>
  </r>
  <r>
    <s v="April"/>
    <s v="  1,049 "/>
    <n v="2499"/>
    <s v="8 ft Hose"/>
    <n v="6.2"/>
    <n v="9.1999999999999993"/>
    <n v="2.9999999999999991"/>
    <n v="0.29999999999999993"/>
    <s v="Chalie"/>
    <x v="0"/>
    <s v="CO"/>
  </r>
  <r>
    <s v="Feb"/>
    <s v="  1,019 "/>
    <n v="2499"/>
    <s v="8 ft Hose"/>
    <n v="6.2"/>
    <n v="9.1999999999999993"/>
    <n v="2.9999999999999991"/>
    <n v="0.29999999999999993"/>
    <s v="Doug"/>
    <x v="1"/>
    <s v="CO"/>
  </r>
  <r>
    <s v="Feb"/>
    <s v="  1,021 "/>
    <n v="1109"/>
    <s v="Chlorine Test Kit"/>
    <n v="3"/>
    <n v="8"/>
    <n v="5"/>
    <n v="0.5"/>
    <s v="Juan"/>
    <x v="3"/>
    <s v="CO"/>
  </r>
  <r>
    <s v="Feb"/>
    <s v="  1,034 "/>
    <n v="2877"/>
    <s v="Net"/>
    <n v="11.4"/>
    <n v="16.3"/>
    <n v="4.9000000000000004"/>
    <n v="0.49000000000000005"/>
    <s v="Juan"/>
    <x v="3"/>
    <s v="CO"/>
  </r>
  <r>
    <s v="Jan"/>
    <s v="  1,010 "/>
    <n v="2877"/>
    <s v="Net"/>
    <n v="11.4"/>
    <n v="16.3"/>
    <n v="4.9000000000000004"/>
    <n v="0.49000000000000005"/>
    <s v="Juan"/>
    <x v="3"/>
    <s v="CO"/>
  </r>
  <r>
    <s v="Jan"/>
    <s v="  1,013 "/>
    <n v="9212"/>
    <s v="1 Gal Muratic Acid"/>
    <n v="4"/>
    <n v="7"/>
    <n v="3"/>
    <n v="0.30000000000000004"/>
    <s v="Hellen"/>
    <x v="2"/>
    <s v="CO"/>
  </r>
  <r>
    <s v="Aug"/>
    <s v="  1,126 "/>
    <n v="9212"/>
    <s v="1 Gal Muratic Acid"/>
    <n v="4"/>
    <n v="7"/>
    <n v="3"/>
    <n v="0.30000000000000004"/>
    <s v="Doug"/>
    <x v="1"/>
    <s v="NM"/>
  </r>
  <r>
    <s v="Aug"/>
    <s v="  1,136 "/>
    <n v="2242"/>
    <s v="AutoVac"/>
    <n v="60"/>
    <n v="124"/>
    <n v="64"/>
    <n v="12.8"/>
    <s v="Doug"/>
    <x v="1"/>
    <s v="NM"/>
  </r>
  <r>
    <s v="Dec"/>
    <s v="  1,167 "/>
    <n v="2242"/>
    <s v="AutoVac"/>
    <n v="60"/>
    <n v="124"/>
    <n v="64"/>
    <n v="12.8"/>
    <s v="Doug"/>
    <x v="1"/>
    <s v="NM"/>
  </r>
  <r>
    <s v="Feb"/>
    <s v="  1,017 "/>
    <n v="2242"/>
    <s v="AutoVac"/>
    <n v="60"/>
    <n v="124"/>
    <n v="64"/>
    <n v="12.8"/>
    <s v="Juan"/>
    <x v="3"/>
    <s v="NM"/>
  </r>
  <r>
    <s v="Feb"/>
    <s v="  1,023 "/>
    <n v="1109"/>
    <s v="Chlorine Test Kit"/>
    <n v="3"/>
    <n v="8"/>
    <n v="5"/>
    <n v="0.5"/>
    <s v="Hellen"/>
    <x v="2"/>
    <s v="NM"/>
  </r>
  <r>
    <s v="Feb"/>
    <s v="  1,026 "/>
    <n v="6119"/>
    <s v="Algea Killer 8 oz"/>
    <n v="9"/>
    <n v="14"/>
    <n v="5"/>
    <n v="0.5"/>
    <s v="Hellen"/>
    <x v="2"/>
    <s v="NM"/>
  </r>
  <r>
    <s v="Jan"/>
    <s v="  1,001 "/>
    <n v="9822"/>
    <s v="Pool Cover"/>
    <n v="58.3"/>
    <n v="98.4"/>
    <n v="40.100000000000009"/>
    <n v="8.0200000000000014"/>
    <s v="Chalie"/>
    <x v="0"/>
    <s v="NM"/>
  </r>
  <r>
    <s v="Jan"/>
    <s v="  1,007 "/>
    <n v="1109"/>
    <s v="Chlorine Test Kit"/>
    <n v="3"/>
    <n v="8"/>
    <n v="5"/>
    <n v="0.5"/>
    <s v="Hellen"/>
    <x v="2"/>
    <s v="NM"/>
  </r>
  <r>
    <s v="Jan"/>
    <s v="  1,008 "/>
    <n v="2877"/>
    <s v="Net"/>
    <n v="11.4"/>
    <n v="16.3"/>
    <n v="4.9000000000000004"/>
    <n v="0.49000000000000005"/>
    <s v="Doug"/>
    <x v="1"/>
    <s v="NM"/>
  </r>
  <r>
    <s v="Jan"/>
    <s v="  1,012 "/>
    <n v="4421"/>
    <s v="Skimmer"/>
    <n v="45"/>
    <n v="87"/>
    <n v="42"/>
    <n v="8.4"/>
    <s v="Doug"/>
    <x v="1"/>
    <s v="NM"/>
  </r>
  <r>
    <s v="July"/>
    <s v="  1,107 "/>
    <n v="1109"/>
    <s v="Chlorine Test Kit"/>
    <n v="3"/>
    <n v="8"/>
    <n v="5"/>
    <n v="0.5"/>
    <s v="Hellen"/>
    <x v="2"/>
    <s v="NM"/>
  </r>
  <r>
    <s v="July"/>
    <s v="  1,117 "/>
    <n v="8722"/>
    <s v="Water Pump"/>
    <n v="344"/>
    <n v="502"/>
    <n v="158"/>
    <n v="31.6"/>
    <s v="Hellen"/>
    <x v="2"/>
    <s v="NM"/>
  </r>
  <r>
    <s v="June"/>
    <s v="  1,079 "/>
    <n v="2877"/>
    <s v="Net"/>
    <n v="11.4"/>
    <n v="16.3"/>
    <n v="4.9000000000000004"/>
    <n v="0.49000000000000005"/>
    <s v="Juan"/>
    <x v="3"/>
    <s v="NM"/>
  </r>
  <r>
    <s v="June"/>
    <s v="  1,088 "/>
    <n v="2499"/>
    <s v="8 ft Hose"/>
    <n v="6.2"/>
    <n v="9.1999999999999993"/>
    <n v="2.9999999999999991"/>
    <n v="0.29999999999999993"/>
    <s v="Chalie"/>
    <x v="0"/>
    <s v="NM"/>
  </r>
  <r>
    <s v="June"/>
    <s v="  1,098 "/>
    <n v="2877"/>
    <s v="Net"/>
    <n v="11.4"/>
    <n v="16.3"/>
    <n v="4.9000000000000004"/>
    <n v="0.49000000000000005"/>
    <s v="Juan"/>
    <x v="3"/>
    <s v="NM"/>
  </r>
  <r>
    <s v="Mar"/>
    <s v="  1,041 "/>
    <n v="2499"/>
    <s v="8 ft Hose"/>
    <n v="6.2"/>
    <n v="9.1999999999999993"/>
    <n v="2.9999999999999991"/>
    <n v="0.29999999999999993"/>
    <s v="Chalie"/>
    <x v="0"/>
    <s v="NM"/>
  </r>
  <r>
    <s v="Mar"/>
    <s v="  1,042 "/>
    <n v="8722"/>
    <s v="Water Pump"/>
    <n v="344"/>
    <n v="502"/>
    <n v="158"/>
    <n v="31.6"/>
    <s v="Doug"/>
    <x v="1"/>
    <s v="NM"/>
  </r>
  <r>
    <s v="May"/>
    <s v="  1,065 "/>
    <n v="2499"/>
    <s v="8 ft Hose"/>
    <n v="6.2"/>
    <n v="9.1999999999999993"/>
    <n v="2.9999999999999991"/>
    <n v="0.29999999999999993"/>
    <s v="Doug"/>
    <x v="1"/>
    <s v="NM"/>
  </r>
  <r>
    <s v="Oct"/>
    <s v="  1,157 "/>
    <n v="9212"/>
    <s v="1 Gal Muratic Acid"/>
    <n v="4"/>
    <n v="7"/>
    <n v="3"/>
    <n v="0.30000000000000004"/>
    <s v="Doug"/>
    <x v="1"/>
    <s v="NM"/>
  </r>
  <r>
    <s v="Sept"/>
    <s v="  1,145 "/>
    <n v="4421"/>
    <s v="Skimmer"/>
    <n v="45"/>
    <n v="87"/>
    <n v="42"/>
    <n v="8.4"/>
    <s v="Hellen"/>
    <x v="2"/>
    <s v="NM"/>
  </r>
  <r>
    <s v="April"/>
    <s v="  1,054 "/>
    <n v="4421"/>
    <s v="Skimmer"/>
    <n v="45"/>
    <n v="87"/>
    <n v="42"/>
    <n v="8.4"/>
    <s v="Doug"/>
    <x v="1"/>
    <s v="NV"/>
  </r>
  <r>
    <s v="April"/>
    <s v="  1,055 "/>
    <n v="6119"/>
    <s v="Algea Killer 8 oz"/>
    <n v="9"/>
    <n v="14"/>
    <n v="5"/>
    <n v="0.5"/>
    <s v="Juan"/>
    <x v="3"/>
    <s v="NV"/>
  </r>
  <r>
    <s v="April"/>
    <s v="  1,060 "/>
    <n v="6119"/>
    <s v="Algea Killer 8 oz"/>
    <n v="9"/>
    <n v="14"/>
    <n v="5"/>
    <n v="0.5"/>
    <s v="Doug"/>
    <x v="1"/>
    <s v="NV"/>
  </r>
  <r>
    <s v="Aug"/>
    <s v="  1,127 "/>
    <n v="8722"/>
    <s v="Water Pump"/>
    <n v="344"/>
    <n v="502"/>
    <n v="158"/>
    <n v="31.6"/>
    <s v="Chalie"/>
    <x v="0"/>
    <s v="NV"/>
  </r>
  <r>
    <s v="Aug"/>
    <s v="  1,129 "/>
    <n v="9822"/>
    <s v="Pool Cover"/>
    <n v="58.3"/>
    <n v="98.4"/>
    <n v="40.100000000000009"/>
    <n v="8.0200000000000014"/>
    <s v="Hellen"/>
    <x v="2"/>
    <s v="NV"/>
  </r>
  <r>
    <s v="Aug"/>
    <s v="  1,135 "/>
    <n v="8722"/>
    <s v="Water Pump"/>
    <n v="344"/>
    <n v="502"/>
    <n v="158"/>
    <n v="31.6"/>
    <s v="Chalie"/>
    <x v="0"/>
    <s v="NV"/>
  </r>
  <r>
    <s v="Aug"/>
    <s v="  1,140 "/>
    <n v="4421"/>
    <s v="Skimmer"/>
    <n v="45"/>
    <n v="87"/>
    <n v="42"/>
    <n v="8.4"/>
    <s v="Juan"/>
    <x v="3"/>
    <s v="NV"/>
  </r>
  <r>
    <s v="Dec"/>
    <s v="  1,171 "/>
    <n v="4421"/>
    <s v="Skimmer"/>
    <n v="45"/>
    <n v="87"/>
    <n v="42"/>
    <n v="8.4"/>
    <s v="Juan"/>
    <x v="3"/>
    <s v="NV"/>
  </r>
  <r>
    <s v="Feb"/>
    <s v="  1,020 "/>
    <n v="2499"/>
    <s v="8 ft Hose"/>
    <n v="6.2"/>
    <n v="9.1999999999999993"/>
    <n v="2.9999999999999991"/>
    <n v="0.29999999999999993"/>
    <s v="Doug"/>
    <x v="1"/>
    <s v="NV"/>
  </r>
  <r>
    <s v="Feb"/>
    <s v="  1,025 "/>
    <n v="2877"/>
    <s v="Net"/>
    <n v="11.4"/>
    <n v="16.3"/>
    <n v="4.9000000000000004"/>
    <n v="0.49000000000000005"/>
    <s v="Hellen"/>
    <x v="2"/>
    <s v="NV"/>
  </r>
  <r>
    <s v="Feb"/>
    <s v="  1,027 "/>
    <n v="6119"/>
    <s v="Algea Killer 8 oz"/>
    <n v="9"/>
    <n v="14"/>
    <n v="5"/>
    <n v="0.5"/>
    <s v="Chalie"/>
    <x v="0"/>
    <s v="NV"/>
  </r>
  <r>
    <s v="Feb"/>
    <s v="  1,030 "/>
    <n v="4421"/>
    <s v="Skimmer"/>
    <n v="45"/>
    <n v="87"/>
    <n v="42"/>
    <n v="8.4"/>
    <s v="Juan"/>
    <x v="3"/>
    <s v="NV"/>
  </r>
  <r>
    <s v="July"/>
    <s v="  1,102 "/>
    <n v="2242"/>
    <s v="AutoVac"/>
    <n v="60"/>
    <n v="124"/>
    <n v="64"/>
    <n v="12.8"/>
    <s v="Juan"/>
    <x v="3"/>
    <s v="NV"/>
  </r>
  <r>
    <s v="July"/>
    <s v="  1,104 "/>
    <n v="2877"/>
    <s v="Net"/>
    <n v="11.4"/>
    <n v="16.3"/>
    <n v="4.9000000000000004"/>
    <n v="0.49000000000000005"/>
    <s v="Doug"/>
    <x v="1"/>
    <s v="NV"/>
  </r>
  <r>
    <s v="July"/>
    <s v="  1,108 "/>
    <n v="9822"/>
    <s v="Pool Cover"/>
    <n v="58.3"/>
    <n v="98.4"/>
    <n v="40.100000000000009"/>
    <n v="8.0200000000000014"/>
    <s v="Doug"/>
    <x v="1"/>
    <s v="NV"/>
  </r>
  <r>
    <s v="July"/>
    <s v="  1,110 "/>
    <n v="8722"/>
    <s v="Water Pump"/>
    <n v="344"/>
    <n v="502"/>
    <n v="158"/>
    <n v="31.6"/>
    <s v="Hellen"/>
    <x v="2"/>
    <s v="NV"/>
  </r>
  <r>
    <s v="July"/>
    <s v="  1,116 "/>
    <n v="6622"/>
    <s v="5 Gal Chlorine"/>
    <n v="42"/>
    <n v="77"/>
    <n v="35"/>
    <n v="7"/>
    <s v="Doug"/>
    <x v="1"/>
    <s v="NV"/>
  </r>
  <r>
    <s v="July"/>
    <s v="  1,121 "/>
    <n v="4421"/>
    <s v="Skimmer"/>
    <n v="45"/>
    <n v="87"/>
    <n v="42"/>
    <n v="8.4"/>
    <s v="Doug"/>
    <x v="1"/>
    <s v="NV"/>
  </r>
  <r>
    <s v="July"/>
    <s v="  1,123 "/>
    <n v="9822"/>
    <s v="Pool Cover"/>
    <n v="58.3"/>
    <n v="98.4"/>
    <n v="40.100000000000009"/>
    <n v="8.0200000000000014"/>
    <s v="Doug"/>
    <x v="1"/>
    <s v="NV"/>
  </r>
  <r>
    <s v="June"/>
    <s v="  1,083 "/>
    <n v="1109"/>
    <s v="Chlorine Test Kit"/>
    <n v="3"/>
    <n v="8"/>
    <n v="5"/>
    <n v="0.5"/>
    <s v="Chalie"/>
    <x v="0"/>
    <s v="NV"/>
  </r>
  <r>
    <s v="June"/>
    <s v="  1,085 "/>
    <n v="9822"/>
    <s v="Pool Cover"/>
    <n v="58.3"/>
    <n v="98.4"/>
    <n v="40.100000000000009"/>
    <n v="8.0200000000000014"/>
    <s v="Doug"/>
    <x v="1"/>
    <s v="NV"/>
  </r>
  <r>
    <s v="June"/>
    <s v="  1,089 "/>
    <n v="6119"/>
    <s v="Algea Killer 8 oz"/>
    <n v="9"/>
    <n v="14"/>
    <n v="5"/>
    <n v="0.5"/>
    <s v="Doug"/>
    <x v="1"/>
    <s v="NV"/>
  </r>
  <r>
    <s v="June"/>
    <s v="  1,091 "/>
    <n v="2877"/>
    <s v="Net"/>
    <n v="11.4"/>
    <n v="16.3"/>
    <n v="4.9000000000000004"/>
    <n v="0.49000000000000005"/>
    <s v="Hellen"/>
    <x v="2"/>
    <s v="NV"/>
  </r>
  <r>
    <s v="June"/>
    <s v="  1,097 "/>
    <n v="9212"/>
    <s v="1 Gal Muratic Acid"/>
    <n v="4"/>
    <n v="7"/>
    <n v="3"/>
    <n v="0.30000000000000004"/>
    <s v="Hellen"/>
    <x v="2"/>
    <s v="NV"/>
  </r>
  <r>
    <s v="Mar"/>
    <s v="  1,036 "/>
    <n v="2499"/>
    <s v="8 ft Hose"/>
    <n v="6.2"/>
    <n v="9.1999999999999993"/>
    <n v="2.9999999999999991"/>
    <n v="0.29999999999999993"/>
    <s v="Juan"/>
    <x v="3"/>
    <s v="NV"/>
  </r>
  <r>
    <s v="Mar"/>
    <s v="  1,037 "/>
    <n v="6622"/>
    <s v="5 Gal Chlorine"/>
    <n v="42"/>
    <n v="77"/>
    <n v="35"/>
    <n v="7"/>
    <s v="Juan"/>
    <x v="3"/>
    <s v="NV"/>
  </r>
  <r>
    <s v="Mar"/>
    <s v="  1,038 "/>
    <n v="2499"/>
    <s v="8 ft Hose"/>
    <n v="6.2"/>
    <n v="9.1999999999999993"/>
    <n v="2.9999999999999991"/>
    <n v="0.29999999999999993"/>
    <s v="Juan"/>
    <x v="3"/>
    <s v="NV"/>
  </r>
  <r>
    <s v="May"/>
    <s v="  1,061 "/>
    <n v="1109"/>
    <s v="Chlorine Test Kit"/>
    <n v="3"/>
    <n v="8"/>
    <n v="5"/>
    <n v="0.5"/>
    <s v="Doug"/>
    <x v="1"/>
    <s v="NV"/>
  </r>
  <r>
    <s v="May"/>
    <s v="  1,066 "/>
    <n v="2877"/>
    <s v="Net"/>
    <n v="11.4"/>
    <n v="16.3"/>
    <n v="4.9000000000000004"/>
    <n v="0.49000000000000005"/>
    <s v="Doug"/>
    <x v="1"/>
    <s v="NV"/>
  </r>
  <r>
    <s v="May"/>
    <s v="  1,072 "/>
    <n v="1109"/>
    <s v="Chlorine Test Kit"/>
    <n v="3"/>
    <n v="8"/>
    <n v="5"/>
    <n v="0.5"/>
    <s v="Doug"/>
    <x v="1"/>
    <s v="NV"/>
  </r>
  <r>
    <s v="May"/>
    <s v="  1,078 "/>
    <n v="2877"/>
    <s v="Net"/>
    <n v="11.4"/>
    <n v="16.3"/>
    <n v="4.9000000000000004"/>
    <n v="0.49000000000000005"/>
    <s v="Juan"/>
    <x v="3"/>
    <s v="NV"/>
  </r>
  <r>
    <s v="Nov"/>
    <s v="  1,158 "/>
    <n v="8722"/>
    <s v="Water Pump"/>
    <n v="344"/>
    <n v="502"/>
    <n v="158"/>
    <n v="31.6"/>
    <s v="Chalie"/>
    <x v="0"/>
    <s v="NV"/>
  </r>
  <r>
    <s v="Nov"/>
    <s v="  1,160 "/>
    <n v="9822"/>
    <s v="Pool Cover"/>
    <n v="58.3"/>
    <n v="98.4"/>
    <n v="40.100000000000009"/>
    <n v="8.0200000000000014"/>
    <s v="Hellen"/>
    <x v="2"/>
    <s v="NV"/>
  </r>
  <r>
    <s v="Nov"/>
    <s v="  1,166 "/>
    <n v="8722"/>
    <s v="Water Pump"/>
    <n v="344"/>
    <n v="502"/>
    <n v="158"/>
    <n v="31.6"/>
    <s v="Doug"/>
    <x v="1"/>
    <s v="NV"/>
  </r>
  <r>
    <s v="Oct"/>
    <s v="  1,152 "/>
    <n v="4421"/>
    <s v="Skimmer"/>
    <n v="45"/>
    <n v="87"/>
    <n v="42"/>
    <n v="8.4"/>
    <s v="Chalie"/>
    <x v="0"/>
    <s v="NV"/>
  </r>
  <r>
    <s v="Oct"/>
    <s v="  1,154 "/>
    <n v="9822"/>
    <s v="Pool Cover"/>
    <n v="58.3"/>
    <n v="98.4"/>
    <n v="40.100000000000009"/>
    <n v="8.0200000000000014"/>
    <s v="Juan"/>
    <x v="3"/>
    <s v="NV"/>
  </r>
  <r>
    <s v="Sept"/>
    <s v="  1,142 "/>
    <n v="2242"/>
    <s v="AutoVac"/>
    <n v="60"/>
    <n v="124"/>
    <n v="64"/>
    <n v="12.8"/>
    <s v="Juan"/>
    <x v="3"/>
    <s v="NV"/>
  </r>
  <r>
    <s v="Sept"/>
    <s v="  1,146 "/>
    <n v="8722"/>
    <s v="Water Pump"/>
    <n v="344"/>
    <n v="502"/>
    <n v="158"/>
    <n v="31.6"/>
    <s v="Hellen"/>
    <x v="2"/>
    <s v="NV"/>
  </r>
  <r>
    <s v="April"/>
    <s v="  1,051 "/>
    <n v="6119"/>
    <s v="Algea Killer 8 oz"/>
    <n v="9"/>
    <n v="14"/>
    <n v="5"/>
    <n v="0.5"/>
    <s v="Doug"/>
    <x v="1"/>
    <s v="UT"/>
  </r>
  <r>
    <s v="Aug"/>
    <s v="  1,138 "/>
    <n v="8722"/>
    <s v="Water Pump"/>
    <n v="344"/>
    <n v="502"/>
    <n v="158"/>
    <n v="31.6"/>
    <s v="Chalie"/>
    <x v="0"/>
    <s v="UT"/>
  </r>
  <r>
    <s v="Dec"/>
    <s v="  1,169 "/>
    <n v="8722"/>
    <s v="Water Pump"/>
    <n v="344"/>
    <n v="502"/>
    <n v="158"/>
    <n v="31.6"/>
    <s v="Doug"/>
    <x v="1"/>
    <s v="UT"/>
  </r>
  <r>
    <s v="Feb"/>
    <s v="  1,022 "/>
    <n v="2877"/>
    <s v="Net"/>
    <n v="11.4"/>
    <n v="16.3"/>
    <n v="4.9000000000000004"/>
    <n v="0.49000000000000005"/>
    <s v="Doug"/>
    <x v="1"/>
    <s v="UT"/>
  </r>
  <r>
    <s v="Feb"/>
    <s v="  1,024 "/>
    <n v="9212"/>
    <s v="1 Gal Muratic Acid"/>
    <n v="4"/>
    <n v="7"/>
    <n v="3"/>
    <n v="0.30000000000000004"/>
    <s v="Juan"/>
    <x v="3"/>
    <s v="UT"/>
  </r>
  <r>
    <s v="July"/>
    <s v="  1,100 "/>
    <n v="6119"/>
    <s v="Algea Killer 8 oz"/>
    <n v="9"/>
    <n v="14"/>
    <n v="5"/>
    <n v="0.5"/>
    <s v="Chalie"/>
    <x v="0"/>
    <s v="UT"/>
  </r>
  <r>
    <s v="July"/>
    <s v="  1,119 "/>
    <n v="2242"/>
    <s v="AutoVac"/>
    <n v="60"/>
    <n v="124"/>
    <n v="64"/>
    <n v="12.8"/>
    <s v="Chalie"/>
    <x v="0"/>
    <s v="UT"/>
  </r>
  <r>
    <s v="June"/>
    <s v="  1,081 "/>
    <n v="6119"/>
    <s v="Algea Killer 8 oz"/>
    <n v="9"/>
    <n v="14"/>
    <n v="5"/>
    <n v="0.5"/>
    <s v="Doug"/>
    <x v="1"/>
    <s v="UT"/>
  </r>
  <r>
    <s v="Mar"/>
    <s v="  1,046 "/>
    <n v="6119"/>
    <s v="Algea Killer 8 oz"/>
    <n v="9"/>
    <n v="14"/>
    <n v="5"/>
    <n v="0.5"/>
    <s v="Juan"/>
    <x v="3"/>
    <s v="UT"/>
  </r>
  <r>
    <s v="May"/>
    <s v="  1,067 "/>
    <n v="2877"/>
    <s v="Net"/>
    <n v="11.4"/>
    <n v="16.3"/>
    <n v="4.9000000000000004"/>
    <n v="0.49000000000000005"/>
    <s v="Doug"/>
    <x v="1"/>
    <s v="UT"/>
  </r>
  <r>
    <s v="Oct"/>
    <s v="  1,150 "/>
    <n v="2242"/>
    <s v="AutoVac"/>
    <n v="60"/>
    <n v="124"/>
    <n v="64"/>
    <n v="12.8"/>
    <s v="Doug"/>
    <x v="1"/>
    <s v="U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A439D-404C-457F-9F4B-90A5CDA27E67}" name="PivotTable1" cacheId="25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0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64" outline="0" showAll="0"/>
    <pivotField dataField="1" compact="0" numFmtId="164" outline="0" showAll="0"/>
    <pivotField compact="0" outline="0" showAll="0"/>
    <pivotField axis="axisRow" compact="0" outline="0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9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 Price" fld="5" baseField="0" baseItem="0"/>
    <dataField name="Sum of Profit" fld="6" baseField="0" baseItem="0" numFmtId="164"/>
    <dataField name="Sum of Commision" fld="7" baseField="0" baseItem="0" numFmtId="164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9" type="button" dataOnly="0" labelOnly="1" outline="0" axis="axisRow" fieldPosition="0"/>
    </format>
    <format dxfId="5">
      <pivotArea dataOnly="0" labelOnly="1" outline="0" fieldPosition="0">
        <references count="1">
          <reference field="9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9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tabSelected="1" topLeftCell="A167" workbookViewId="0">
      <selection activeCell="A175" sqref="A175:F177"/>
    </sheetView>
  </sheetViews>
  <sheetFormatPr defaultRowHeight="15"/>
  <cols>
    <col min="1" max="1" width="9.85546875" customWidth="1"/>
    <col min="3" max="3" width="10.28515625" customWidth="1"/>
    <col min="4" max="4" width="14.7109375" bestFit="1" customWidth="1"/>
    <col min="5" max="5" width="9.140625" style="1"/>
    <col min="6" max="6" width="10.5703125" style="1" bestFit="1" customWidth="1"/>
    <col min="7" max="7" width="11.5703125" customWidth="1"/>
    <col min="8" max="8" width="12.7109375" customWidth="1"/>
    <col min="9" max="9" width="12" bestFit="1" customWidth="1"/>
    <col min="10" max="10" width="12" customWidth="1"/>
    <col min="11" max="11" width="10" bestFit="1" customWidth="1"/>
  </cols>
  <sheetData>
    <row r="1" spans="1:11" ht="62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>
      <c r="A2" s="5" t="s">
        <v>11</v>
      </c>
      <c r="B2" s="5" t="s">
        <v>12</v>
      </c>
      <c r="C2" s="5">
        <v>2877</v>
      </c>
      <c r="D2" s="5" t="s">
        <v>13</v>
      </c>
      <c r="E2" s="6">
        <v>11.4</v>
      </c>
      <c r="F2" s="6">
        <v>16.3</v>
      </c>
      <c r="G2" s="7">
        <f>F2-E2</f>
        <v>4.9000000000000004</v>
      </c>
      <c r="H2" s="7">
        <f>IF(F2&gt;50, G2*20%, G2*10%)</f>
        <v>0.49000000000000005</v>
      </c>
      <c r="I2" s="5" t="s">
        <v>14</v>
      </c>
      <c r="J2" s="5" t="s">
        <v>15</v>
      </c>
      <c r="K2" s="5" t="s">
        <v>16</v>
      </c>
    </row>
    <row r="3" spans="1:11">
      <c r="A3" s="5" t="s">
        <v>11</v>
      </c>
      <c r="B3" s="5" t="s">
        <v>17</v>
      </c>
      <c r="C3" s="5">
        <v>6622</v>
      </c>
      <c r="D3" s="5" t="s">
        <v>18</v>
      </c>
      <c r="E3" s="6">
        <v>42</v>
      </c>
      <c r="F3" s="6">
        <v>77</v>
      </c>
      <c r="G3" s="7">
        <f>F3-E3</f>
        <v>35</v>
      </c>
      <c r="H3" s="7">
        <f>IF(F3&gt;50, G3*20%, G3*10%)</f>
        <v>7</v>
      </c>
      <c r="I3" s="5" t="s">
        <v>19</v>
      </c>
      <c r="J3" s="5" t="s">
        <v>20</v>
      </c>
      <c r="K3" s="5" t="s">
        <v>16</v>
      </c>
    </row>
    <row r="4" spans="1:11">
      <c r="A4" s="5" t="s">
        <v>11</v>
      </c>
      <c r="B4" s="5" t="s">
        <v>21</v>
      </c>
      <c r="C4" s="5">
        <v>6119</v>
      </c>
      <c r="D4" s="5" t="s">
        <v>22</v>
      </c>
      <c r="E4" s="6">
        <v>9</v>
      </c>
      <c r="F4" s="6">
        <v>14</v>
      </c>
      <c r="G4" s="7">
        <f>F4-E4</f>
        <v>5</v>
      </c>
      <c r="H4" s="7">
        <f>IF(F4&gt;50, G4*20%, G4*10%)</f>
        <v>0.5</v>
      </c>
      <c r="I4" s="5" t="s">
        <v>23</v>
      </c>
      <c r="J4" s="5" t="s">
        <v>24</v>
      </c>
      <c r="K4" s="5" t="s">
        <v>16</v>
      </c>
    </row>
    <row r="5" spans="1:11">
      <c r="A5" s="5" t="s">
        <v>11</v>
      </c>
      <c r="B5" s="5" t="s">
        <v>25</v>
      </c>
      <c r="C5" s="5">
        <v>2242</v>
      </c>
      <c r="D5" s="5" t="s">
        <v>26</v>
      </c>
      <c r="E5" s="6">
        <v>60</v>
      </c>
      <c r="F5" s="6">
        <v>124</v>
      </c>
      <c r="G5" s="7">
        <f>F5-E5</f>
        <v>64</v>
      </c>
      <c r="H5" s="7">
        <f>IF(F5&gt;50, G5*20%, G5*10%)</f>
        <v>12.8</v>
      </c>
      <c r="I5" s="5" t="s">
        <v>19</v>
      </c>
      <c r="J5" s="5" t="s">
        <v>20</v>
      </c>
      <c r="K5" s="5" t="s">
        <v>16</v>
      </c>
    </row>
    <row r="6" spans="1:11">
      <c r="A6" s="5" t="s">
        <v>27</v>
      </c>
      <c r="B6" s="5" t="s">
        <v>28</v>
      </c>
      <c r="C6" s="5">
        <v>9212</v>
      </c>
      <c r="D6" s="5" t="s">
        <v>29</v>
      </c>
      <c r="E6" s="6">
        <v>4</v>
      </c>
      <c r="F6" s="6">
        <v>120</v>
      </c>
      <c r="G6" s="7">
        <f>F6-E6</f>
        <v>116</v>
      </c>
      <c r="H6" s="7">
        <f>IF(F6&gt;50, G6*20%, G6*10%)</f>
        <v>23.200000000000003</v>
      </c>
      <c r="I6" s="5" t="s">
        <v>23</v>
      </c>
      <c r="J6" s="5" t="s">
        <v>24</v>
      </c>
      <c r="K6" s="5" t="s">
        <v>16</v>
      </c>
    </row>
    <row r="7" spans="1:11">
      <c r="A7" s="5" t="s">
        <v>27</v>
      </c>
      <c r="B7" s="5" t="s">
        <v>30</v>
      </c>
      <c r="C7" s="5">
        <v>9822</v>
      </c>
      <c r="D7" s="5" t="s">
        <v>31</v>
      </c>
      <c r="E7" s="6">
        <v>58.3</v>
      </c>
      <c r="F7" s="6">
        <v>98.4</v>
      </c>
      <c r="G7" s="7">
        <f>F7-E7</f>
        <v>40.100000000000009</v>
      </c>
      <c r="H7" s="7">
        <f>IF(F7&gt;50, G7*20%, G7*10%)</f>
        <v>8.0200000000000014</v>
      </c>
      <c r="I7" s="5" t="s">
        <v>14</v>
      </c>
      <c r="J7" s="5" t="s">
        <v>15</v>
      </c>
      <c r="K7" s="5" t="s">
        <v>16</v>
      </c>
    </row>
    <row r="8" spans="1:11">
      <c r="A8" s="5" t="s">
        <v>27</v>
      </c>
      <c r="B8" s="5" t="s">
        <v>32</v>
      </c>
      <c r="C8" s="5">
        <v>9822</v>
      </c>
      <c r="D8" s="5" t="s">
        <v>31</v>
      </c>
      <c r="E8" s="6">
        <v>58.3</v>
      </c>
      <c r="F8" s="6">
        <v>98.4</v>
      </c>
      <c r="G8" s="7">
        <f>F8-E8</f>
        <v>40.100000000000009</v>
      </c>
      <c r="H8" s="7">
        <f>IF(F8&gt;50, G8*20%, G8*10%)</f>
        <v>8.0200000000000014</v>
      </c>
      <c r="I8" s="5" t="s">
        <v>19</v>
      </c>
      <c r="J8" s="5" t="s">
        <v>20</v>
      </c>
      <c r="K8" s="5" t="s">
        <v>16</v>
      </c>
    </row>
    <row r="9" spans="1:11">
      <c r="A9" s="5" t="s">
        <v>27</v>
      </c>
      <c r="B9" s="5" t="s">
        <v>33</v>
      </c>
      <c r="C9" s="5">
        <v>9212</v>
      </c>
      <c r="D9" s="5" t="s">
        <v>29</v>
      </c>
      <c r="E9" s="6">
        <v>4</v>
      </c>
      <c r="F9" s="6">
        <v>7</v>
      </c>
      <c r="G9" s="7">
        <f>F9-E9</f>
        <v>3</v>
      </c>
      <c r="H9" s="7">
        <f>IF(F9&gt;50, G9*20%, G9*10%)</f>
        <v>0.30000000000000004</v>
      </c>
      <c r="I9" s="5" t="s">
        <v>34</v>
      </c>
      <c r="J9" s="5" t="s">
        <v>35</v>
      </c>
      <c r="K9" s="5" t="s">
        <v>16</v>
      </c>
    </row>
    <row r="10" spans="1:11">
      <c r="A10" s="5" t="s">
        <v>36</v>
      </c>
      <c r="B10" s="5" t="s">
        <v>37</v>
      </c>
      <c r="C10" s="5">
        <v>8722</v>
      </c>
      <c r="D10" s="5" t="s">
        <v>38</v>
      </c>
      <c r="E10" s="6">
        <v>344</v>
      </c>
      <c r="F10" s="6">
        <v>502</v>
      </c>
      <c r="G10" s="7">
        <f>F10-E10</f>
        <v>158</v>
      </c>
      <c r="H10" s="7">
        <f>IF(F10&gt;50, G10*20%, G10*10%)</f>
        <v>31.6</v>
      </c>
      <c r="I10" s="5" t="s">
        <v>14</v>
      </c>
      <c r="J10" s="5" t="s">
        <v>15</v>
      </c>
      <c r="K10" s="5" t="s">
        <v>16</v>
      </c>
    </row>
    <row r="11" spans="1:11">
      <c r="A11" s="5" t="s">
        <v>36</v>
      </c>
      <c r="B11" s="5" t="s">
        <v>39</v>
      </c>
      <c r="C11" s="5">
        <v>2499</v>
      </c>
      <c r="D11" s="5" t="s">
        <v>40</v>
      </c>
      <c r="E11" s="6">
        <v>6.2</v>
      </c>
      <c r="F11" s="6">
        <v>9.1999999999999993</v>
      </c>
      <c r="G11" s="7">
        <f>F11-E11</f>
        <v>2.9999999999999991</v>
      </c>
      <c r="H11" s="7">
        <f>IF(F11&gt;50, G11*20%, G11*10%)</f>
        <v>0.29999999999999993</v>
      </c>
      <c r="I11" s="5" t="s">
        <v>34</v>
      </c>
      <c r="J11" s="5" t="s">
        <v>35</v>
      </c>
      <c r="K11" s="5" t="s">
        <v>16</v>
      </c>
    </row>
    <row r="12" spans="1:11">
      <c r="A12" s="5" t="s">
        <v>36</v>
      </c>
      <c r="B12" s="5" t="s">
        <v>41</v>
      </c>
      <c r="C12" s="5">
        <v>2877</v>
      </c>
      <c r="D12" s="5" t="s">
        <v>13</v>
      </c>
      <c r="E12" s="6">
        <v>11.4</v>
      </c>
      <c r="F12" s="6">
        <v>16.3</v>
      </c>
      <c r="G12" s="7">
        <f>F12-E12</f>
        <v>4.9000000000000004</v>
      </c>
      <c r="H12" s="7">
        <f>IF(F12&gt;50, G12*20%, G12*10%)</f>
        <v>0.49000000000000005</v>
      </c>
      <c r="I12" s="5" t="s">
        <v>14</v>
      </c>
      <c r="J12" s="5" t="s">
        <v>15</v>
      </c>
      <c r="K12" s="5" t="s">
        <v>16</v>
      </c>
    </row>
    <row r="13" spans="1:11">
      <c r="A13" s="5" t="s">
        <v>42</v>
      </c>
      <c r="B13" s="5" t="s">
        <v>43</v>
      </c>
      <c r="C13" s="5">
        <v>2499</v>
      </c>
      <c r="D13" s="5" t="s">
        <v>40</v>
      </c>
      <c r="E13" s="6">
        <v>6.2</v>
      </c>
      <c r="F13" s="6">
        <v>9.1999999999999993</v>
      </c>
      <c r="G13" s="7">
        <f>F13-E13</f>
        <v>2.9999999999999991</v>
      </c>
      <c r="H13" s="7">
        <f>IF(F13&gt;50, G13*20%, G13*10%)</f>
        <v>0.29999999999999993</v>
      </c>
      <c r="I13" s="5" t="s">
        <v>19</v>
      </c>
      <c r="J13" s="5" t="s">
        <v>20</v>
      </c>
      <c r="K13" s="5" t="s">
        <v>16</v>
      </c>
    </row>
    <row r="14" spans="1:11">
      <c r="A14" s="5" t="s">
        <v>42</v>
      </c>
      <c r="B14" s="5" t="s">
        <v>44</v>
      </c>
      <c r="C14" s="5">
        <v>8722</v>
      </c>
      <c r="D14" s="5" t="s">
        <v>38</v>
      </c>
      <c r="E14" s="6">
        <v>344</v>
      </c>
      <c r="F14" s="6">
        <v>502</v>
      </c>
      <c r="G14" s="7">
        <f>F14-E14</f>
        <v>158</v>
      </c>
      <c r="H14" s="7">
        <f>IF(F14&gt;50, G14*20%, G14*10%)</f>
        <v>31.6</v>
      </c>
      <c r="I14" s="5" t="s">
        <v>14</v>
      </c>
      <c r="J14" s="5" t="s">
        <v>15</v>
      </c>
      <c r="K14" s="5" t="s">
        <v>16</v>
      </c>
    </row>
    <row r="15" spans="1:11">
      <c r="A15" s="5" t="s">
        <v>42</v>
      </c>
      <c r="B15" s="5" t="s">
        <v>45</v>
      </c>
      <c r="C15" s="5">
        <v>1109</v>
      </c>
      <c r="D15" s="5" t="s">
        <v>46</v>
      </c>
      <c r="E15" s="6">
        <v>3</v>
      </c>
      <c r="F15" s="6">
        <v>8</v>
      </c>
      <c r="G15" s="7">
        <f>F15-E15</f>
        <v>5</v>
      </c>
      <c r="H15" s="7">
        <f>IF(F15&gt;50, G15*20%, G15*10%)</f>
        <v>0.5</v>
      </c>
      <c r="I15" s="5" t="s">
        <v>19</v>
      </c>
      <c r="J15" s="5" t="s">
        <v>20</v>
      </c>
      <c r="K15" s="5" t="s">
        <v>16</v>
      </c>
    </row>
    <row r="16" spans="1:11">
      <c r="A16" s="5" t="s">
        <v>42</v>
      </c>
      <c r="B16" s="5" t="s">
        <v>47</v>
      </c>
      <c r="C16" s="5">
        <v>9822</v>
      </c>
      <c r="D16" s="5" t="s">
        <v>31</v>
      </c>
      <c r="E16" s="6">
        <v>58.3</v>
      </c>
      <c r="F16" s="6">
        <v>98.4</v>
      </c>
      <c r="G16" s="7">
        <f>F16-E16</f>
        <v>40.100000000000009</v>
      </c>
      <c r="H16" s="7">
        <f>IF(F16&gt;50, G16*20%, G16*10%)</f>
        <v>8.0200000000000014</v>
      </c>
      <c r="I16" s="5" t="s">
        <v>19</v>
      </c>
      <c r="J16" s="5" t="s">
        <v>20</v>
      </c>
      <c r="K16" s="5" t="s">
        <v>16</v>
      </c>
    </row>
    <row r="17" spans="1:11">
      <c r="A17" s="5" t="s">
        <v>42</v>
      </c>
      <c r="B17" s="5" t="s">
        <v>48</v>
      </c>
      <c r="C17" s="5">
        <v>1109</v>
      </c>
      <c r="D17" s="5" t="s">
        <v>46</v>
      </c>
      <c r="E17" s="6">
        <v>3</v>
      </c>
      <c r="F17" s="6">
        <v>8</v>
      </c>
      <c r="G17" s="7">
        <f>F17-E17</f>
        <v>5</v>
      </c>
      <c r="H17" s="7">
        <f>IF(F17&gt;50, G17*20%, G17*10%)</f>
        <v>0.5</v>
      </c>
      <c r="I17" s="5" t="s">
        <v>19</v>
      </c>
      <c r="J17" s="5" t="s">
        <v>20</v>
      </c>
      <c r="K17" s="5" t="s">
        <v>16</v>
      </c>
    </row>
    <row r="18" spans="1:11">
      <c r="A18" s="5" t="s">
        <v>42</v>
      </c>
      <c r="B18" s="5" t="s">
        <v>49</v>
      </c>
      <c r="C18" s="5">
        <v>2877</v>
      </c>
      <c r="D18" s="5" t="s">
        <v>13</v>
      </c>
      <c r="E18" s="6">
        <v>11.4</v>
      </c>
      <c r="F18" s="6">
        <v>16.3</v>
      </c>
      <c r="G18" s="7">
        <f>F18-E18</f>
        <v>4.9000000000000004</v>
      </c>
      <c r="H18" s="7">
        <f>IF(F18&gt;50, G18*20%, G18*10%)</f>
        <v>0.49000000000000005</v>
      </c>
      <c r="I18" s="5" t="s">
        <v>34</v>
      </c>
      <c r="J18" s="5" t="s">
        <v>35</v>
      </c>
      <c r="K18" s="5" t="s">
        <v>16</v>
      </c>
    </row>
    <row r="19" spans="1:11">
      <c r="A19" s="5" t="s">
        <v>42</v>
      </c>
      <c r="B19" s="5" t="s">
        <v>50</v>
      </c>
      <c r="C19" s="5">
        <v>2877</v>
      </c>
      <c r="D19" s="5" t="s">
        <v>13</v>
      </c>
      <c r="E19" s="6">
        <v>11.4</v>
      </c>
      <c r="F19" s="6">
        <v>16.3</v>
      </c>
      <c r="G19" s="7">
        <f>F19-E19</f>
        <v>4.9000000000000004</v>
      </c>
      <c r="H19" s="7">
        <f>IF(F19&gt;50, G19*20%, G19*10%)</f>
        <v>0.49000000000000005</v>
      </c>
      <c r="I19" s="5" t="s">
        <v>23</v>
      </c>
      <c r="J19" s="5" t="s">
        <v>24</v>
      </c>
      <c r="K19" s="5" t="s">
        <v>16</v>
      </c>
    </row>
    <row r="20" spans="1:11">
      <c r="A20" s="5" t="s">
        <v>51</v>
      </c>
      <c r="B20" s="5" t="s">
        <v>52</v>
      </c>
      <c r="C20" s="5">
        <v>2877</v>
      </c>
      <c r="D20" s="5" t="s">
        <v>13</v>
      </c>
      <c r="E20" s="6">
        <v>11.4</v>
      </c>
      <c r="F20" s="6">
        <v>16.3</v>
      </c>
      <c r="G20" s="7">
        <f>F20-E20</f>
        <v>4.9000000000000004</v>
      </c>
      <c r="H20" s="7">
        <f>IF(F20&gt;50, G20*20%, G20*10%)</f>
        <v>0.49000000000000005</v>
      </c>
      <c r="I20" s="5" t="s">
        <v>34</v>
      </c>
      <c r="J20" s="5" t="s">
        <v>35</v>
      </c>
      <c r="K20" s="5" t="s">
        <v>16</v>
      </c>
    </row>
    <row r="21" spans="1:11">
      <c r="A21" s="5" t="s">
        <v>51</v>
      </c>
      <c r="B21" s="5" t="s">
        <v>53</v>
      </c>
      <c r="C21" s="5">
        <v>2499</v>
      </c>
      <c r="D21" s="5" t="s">
        <v>40</v>
      </c>
      <c r="E21" s="6">
        <v>6.2</v>
      </c>
      <c r="F21" s="6">
        <v>9.1999999999999993</v>
      </c>
      <c r="G21" s="7">
        <f>F21-E21</f>
        <v>2.9999999999999991</v>
      </c>
      <c r="H21" s="7">
        <f>IF(F21&gt;50, G21*20%, G21*10%)</f>
        <v>0.29999999999999993</v>
      </c>
      <c r="I21" s="5" t="s">
        <v>34</v>
      </c>
      <c r="J21" s="5" t="s">
        <v>35</v>
      </c>
      <c r="K21" s="5" t="s">
        <v>16</v>
      </c>
    </row>
    <row r="22" spans="1:11">
      <c r="A22" s="5" t="s">
        <v>51</v>
      </c>
      <c r="B22" s="5" t="s">
        <v>54</v>
      </c>
      <c r="C22" s="5">
        <v>6622</v>
      </c>
      <c r="D22" s="5" t="s">
        <v>18</v>
      </c>
      <c r="E22" s="6">
        <v>42</v>
      </c>
      <c r="F22" s="6">
        <v>77</v>
      </c>
      <c r="G22" s="7">
        <f>F22-E22</f>
        <v>35</v>
      </c>
      <c r="H22" s="7">
        <f>IF(F22&gt;50, G22*20%, G22*10%)</f>
        <v>7</v>
      </c>
      <c r="I22" s="5" t="s">
        <v>19</v>
      </c>
      <c r="J22" s="5" t="s">
        <v>20</v>
      </c>
      <c r="K22" s="5" t="s">
        <v>16</v>
      </c>
    </row>
    <row r="23" spans="1:11">
      <c r="A23" s="5" t="s">
        <v>51</v>
      </c>
      <c r="B23" s="5" t="s">
        <v>55</v>
      </c>
      <c r="C23" s="5">
        <v>2242</v>
      </c>
      <c r="D23" s="5" t="s">
        <v>26</v>
      </c>
      <c r="E23" s="6">
        <v>60</v>
      </c>
      <c r="F23" s="6">
        <v>124</v>
      </c>
      <c r="G23" s="7">
        <f>F23-E23</f>
        <v>64</v>
      </c>
      <c r="H23" s="7">
        <f>IF(F23&gt;50, G23*20%, G23*10%)</f>
        <v>12.8</v>
      </c>
      <c r="I23" s="5" t="s">
        <v>34</v>
      </c>
      <c r="J23" s="5" t="s">
        <v>35</v>
      </c>
      <c r="K23" s="5" t="s">
        <v>16</v>
      </c>
    </row>
    <row r="24" spans="1:11">
      <c r="A24" s="5" t="s">
        <v>51</v>
      </c>
      <c r="B24" s="5" t="s">
        <v>56</v>
      </c>
      <c r="C24" s="5">
        <v>8722</v>
      </c>
      <c r="D24" s="5" t="s">
        <v>38</v>
      </c>
      <c r="E24" s="6">
        <v>344</v>
      </c>
      <c r="F24" s="6">
        <v>502</v>
      </c>
      <c r="G24" s="7">
        <f>F24-E24</f>
        <v>158</v>
      </c>
      <c r="H24" s="7">
        <f>IF(F24&gt;50, G24*20%, G24*10%)</f>
        <v>31.6</v>
      </c>
      <c r="I24" s="5" t="s">
        <v>14</v>
      </c>
      <c r="J24" s="5" t="s">
        <v>15</v>
      </c>
      <c r="K24" s="5" t="s">
        <v>16</v>
      </c>
    </row>
    <row r="25" spans="1:11">
      <c r="A25" s="5" t="s">
        <v>51</v>
      </c>
      <c r="B25" s="5" t="s">
        <v>57</v>
      </c>
      <c r="C25" s="5">
        <v>8722</v>
      </c>
      <c r="D25" s="5" t="s">
        <v>38</v>
      </c>
      <c r="E25" s="6">
        <v>344</v>
      </c>
      <c r="F25" s="6">
        <v>502</v>
      </c>
      <c r="G25" s="7">
        <f>F25-E25</f>
        <v>158</v>
      </c>
      <c r="H25" s="7">
        <f>IF(F25&gt;50, G25*20%, G25*10%)</f>
        <v>31.6</v>
      </c>
      <c r="I25" s="5" t="s">
        <v>19</v>
      </c>
      <c r="J25" s="5" t="s">
        <v>20</v>
      </c>
      <c r="K25" s="5" t="s">
        <v>16</v>
      </c>
    </row>
    <row r="26" spans="1:11">
      <c r="A26" s="5" t="s">
        <v>51</v>
      </c>
      <c r="B26" s="5" t="s">
        <v>58</v>
      </c>
      <c r="C26" s="5">
        <v>4421</v>
      </c>
      <c r="D26" s="5" t="s">
        <v>59</v>
      </c>
      <c r="E26" s="6">
        <v>45</v>
      </c>
      <c r="F26" s="6">
        <v>87</v>
      </c>
      <c r="G26" s="7">
        <f>F26-E26</f>
        <v>42</v>
      </c>
      <c r="H26" s="7">
        <f>IF(F26&gt;50, G26*20%, G26*10%)</f>
        <v>8.4</v>
      </c>
      <c r="I26" s="5" t="s">
        <v>19</v>
      </c>
      <c r="J26" s="5" t="s">
        <v>20</v>
      </c>
      <c r="K26" s="5" t="s">
        <v>16</v>
      </c>
    </row>
    <row r="27" spans="1:11">
      <c r="A27" s="5" t="s">
        <v>60</v>
      </c>
      <c r="B27" s="5" t="s">
        <v>61</v>
      </c>
      <c r="C27" s="5">
        <v>6119</v>
      </c>
      <c r="D27" s="5" t="s">
        <v>22</v>
      </c>
      <c r="E27" s="6">
        <v>9</v>
      </c>
      <c r="F27" s="6">
        <v>14</v>
      </c>
      <c r="G27" s="7">
        <f>F27-E27</f>
        <v>5</v>
      </c>
      <c r="H27" s="7">
        <f>IF(F27&gt;50, G27*20%, G27*10%)</f>
        <v>0.5</v>
      </c>
      <c r="I27" s="5" t="s">
        <v>14</v>
      </c>
      <c r="J27" s="5" t="s">
        <v>15</v>
      </c>
      <c r="K27" s="5" t="s">
        <v>16</v>
      </c>
    </row>
    <row r="28" spans="1:11">
      <c r="A28" s="5" t="s">
        <v>60</v>
      </c>
      <c r="B28" s="5" t="s">
        <v>62</v>
      </c>
      <c r="C28" s="5">
        <v>1109</v>
      </c>
      <c r="D28" s="5" t="s">
        <v>46</v>
      </c>
      <c r="E28" s="6">
        <v>3</v>
      </c>
      <c r="F28" s="6">
        <v>8</v>
      </c>
      <c r="G28" s="7">
        <f>F28-E28</f>
        <v>5</v>
      </c>
      <c r="H28" s="7">
        <f>IF(F28&gt;50, G28*20%, G28*10%)</f>
        <v>0.5</v>
      </c>
      <c r="I28" s="5" t="s">
        <v>23</v>
      </c>
      <c r="J28" s="5" t="s">
        <v>24</v>
      </c>
      <c r="K28" s="5" t="s">
        <v>16</v>
      </c>
    </row>
    <row r="29" spans="1:11">
      <c r="A29" s="5" t="s">
        <v>60</v>
      </c>
      <c r="B29" s="5" t="s">
        <v>63</v>
      </c>
      <c r="C29" s="5">
        <v>6119</v>
      </c>
      <c r="D29" s="5" t="s">
        <v>22</v>
      </c>
      <c r="E29" s="6">
        <v>9</v>
      </c>
      <c r="F29" s="6">
        <v>14</v>
      </c>
      <c r="G29" s="7">
        <f>F29-E29</f>
        <v>5</v>
      </c>
      <c r="H29" s="7">
        <f>IF(F29&gt;50, G29*20%, G29*10%)</f>
        <v>0.5</v>
      </c>
      <c r="I29" s="5" t="s">
        <v>34</v>
      </c>
      <c r="J29" s="5" t="s">
        <v>35</v>
      </c>
      <c r="K29" s="5" t="s">
        <v>16</v>
      </c>
    </row>
    <row r="30" spans="1:11">
      <c r="A30" s="5" t="s">
        <v>60</v>
      </c>
      <c r="B30" s="5" t="s">
        <v>64</v>
      </c>
      <c r="C30" s="5">
        <v>2499</v>
      </c>
      <c r="D30" s="5" t="s">
        <v>40</v>
      </c>
      <c r="E30" s="6">
        <v>6.2</v>
      </c>
      <c r="F30" s="6">
        <v>9.1999999999999993</v>
      </c>
      <c r="G30" s="7">
        <f>F30-E30</f>
        <v>2.9999999999999991</v>
      </c>
      <c r="H30" s="7">
        <f>IF(F30&gt;50, G30*20%, G30*10%)</f>
        <v>0.29999999999999993</v>
      </c>
      <c r="I30" s="5" t="s">
        <v>23</v>
      </c>
      <c r="J30" s="5" t="s">
        <v>24</v>
      </c>
      <c r="K30" s="5" t="s">
        <v>16</v>
      </c>
    </row>
    <row r="31" spans="1:11">
      <c r="A31" s="5" t="s">
        <v>60</v>
      </c>
      <c r="B31" s="5" t="s">
        <v>65</v>
      </c>
      <c r="C31" s="5">
        <v>6119</v>
      </c>
      <c r="D31" s="5" t="s">
        <v>22</v>
      </c>
      <c r="E31" s="6">
        <v>9</v>
      </c>
      <c r="F31" s="6">
        <v>14</v>
      </c>
      <c r="G31" s="7">
        <f>F31-E31</f>
        <v>5</v>
      </c>
      <c r="H31" s="7">
        <f>IF(F31&gt;50, G31*20%, G31*10%)</f>
        <v>0.5</v>
      </c>
      <c r="I31" s="5" t="s">
        <v>19</v>
      </c>
      <c r="J31" s="5" t="s">
        <v>20</v>
      </c>
      <c r="K31" s="5" t="s">
        <v>16</v>
      </c>
    </row>
    <row r="32" spans="1:11">
      <c r="A32" s="5" t="s">
        <v>66</v>
      </c>
      <c r="B32" s="5" t="s">
        <v>67</v>
      </c>
      <c r="C32" s="5">
        <v>1109</v>
      </c>
      <c r="D32" s="5" t="s">
        <v>46</v>
      </c>
      <c r="E32" s="6">
        <v>3</v>
      </c>
      <c r="F32" s="6">
        <v>8</v>
      </c>
      <c r="G32" s="7">
        <f>F32-E32</f>
        <v>5</v>
      </c>
      <c r="H32" s="7">
        <f>IF(F32&gt;50, G32*20%, G32*10%)</f>
        <v>0.5</v>
      </c>
      <c r="I32" s="5" t="s">
        <v>34</v>
      </c>
      <c r="J32" s="5" t="s">
        <v>35</v>
      </c>
      <c r="K32" s="5" t="s">
        <v>16</v>
      </c>
    </row>
    <row r="33" spans="1:11">
      <c r="A33" s="5" t="s">
        <v>66</v>
      </c>
      <c r="B33" s="5" t="s">
        <v>68</v>
      </c>
      <c r="C33" s="5">
        <v>8722</v>
      </c>
      <c r="D33" s="5" t="s">
        <v>38</v>
      </c>
      <c r="E33" s="6">
        <v>344</v>
      </c>
      <c r="F33" s="6">
        <v>502</v>
      </c>
      <c r="G33" s="7">
        <f>F33-E33</f>
        <v>158</v>
      </c>
      <c r="H33" s="7">
        <f>IF(F33&gt;50, G33*20%, G33*10%)</f>
        <v>31.6</v>
      </c>
      <c r="I33" s="5" t="s">
        <v>23</v>
      </c>
      <c r="J33" s="5" t="s">
        <v>24</v>
      </c>
      <c r="K33" s="5" t="s">
        <v>16</v>
      </c>
    </row>
    <row r="34" spans="1:11">
      <c r="A34" s="5" t="s">
        <v>66</v>
      </c>
      <c r="B34" s="5" t="s">
        <v>69</v>
      </c>
      <c r="C34" s="5">
        <v>6622</v>
      </c>
      <c r="D34" s="5" t="s">
        <v>18</v>
      </c>
      <c r="E34" s="6">
        <v>42</v>
      </c>
      <c r="F34" s="6">
        <v>77</v>
      </c>
      <c r="G34" s="7">
        <f>F34-E34</f>
        <v>35</v>
      </c>
      <c r="H34" s="7">
        <f>IF(F34&gt;50, G34*20%, G34*10%)</f>
        <v>7</v>
      </c>
      <c r="I34" s="5" t="s">
        <v>23</v>
      </c>
      <c r="J34" s="5" t="s">
        <v>24</v>
      </c>
      <c r="K34" s="5" t="s">
        <v>16</v>
      </c>
    </row>
    <row r="35" spans="1:11">
      <c r="A35" s="5" t="s">
        <v>66</v>
      </c>
      <c r="B35" s="5" t="s">
        <v>70</v>
      </c>
      <c r="C35" s="5">
        <v>8722</v>
      </c>
      <c r="D35" s="5" t="s">
        <v>38</v>
      </c>
      <c r="E35" s="6">
        <v>344</v>
      </c>
      <c r="F35" s="6">
        <v>502</v>
      </c>
      <c r="G35" s="7">
        <f>F35-E35</f>
        <v>158</v>
      </c>
      <c r="H35" s="7">
        <f>IF(F35&gt;50, G35*20%, G35*10%)</f>
        <v>31.6</v>
      </c>
      <c r="I35" s="5" t="s">
        <v>14</v>
      </c>
      <c r="J35" s="5" t="s">
        <v>15</v>
      </c>
      <c r="K35" s="5" t="s">
        <v>16</v>
      </c>
    </row>
    <row r="36" spans="1:11">
      <c r="A36" s="5" t="s">
        <v>71</v>
      </c>
      <c r="B36" s="5" t="s">
        <v>72</v>
      </c>
      <c r="C36" s="5">
        <v>2499</v>
      </c>
      <c r="D36" s="5" t="s">
        <v>40</v>
      </c>
      <c r="E36" s="6">
        <v>6.2</v>
      </c>
      <c r="F36" s="6">
        <v>9.1999999999999993</v>
      </c>
      <c r="G36" s="7">
        <f>F36-E36</f>
        <v>2.9999999999999991</v>
      </c>
      <c r="H36" s="7">
        <f>IF(F36&gt;50, G36*20%, G36*10%)</f>
        <v>0.29999999999999993</v>
      </c>
      <c r="I36" s="5" t="s">
        <v>14</v>
      </c>
      <c r="J36" s="5" t="s">
        <v>15</v>
      </c>
      <c r="K36" s="5" t="s">
        <v>16</v>
      </c>
    </row>
    <row r="37" spans="1:11">
      <c r="A37" s="5" t="s">
        <v>71</v>
      </c>
      <c r="B37" s="5" t="s">
        <v>73</v>
      </c>
      <c r="C37" s="5">
        <v>2499</v>
      </c>
      <c r="D37" s="5" t="s">
        <v>40</v>
      </c>
      <c r="E37" s="6">
        <v>6.2</v>
      </c>
      <c r="F37" s="6">
        <v>9.1999999999999993</v>
      </c>
      <c r="G37" s="7">
        <f>F37-E37</f>
        <v>2.9999999999999991</v>
      </c>
      <c r="H37" s="7">
        <f>IF(F37&gt;50, G37*20%, G37*10%)</f>
        <v>0.29999999999999993</v>
      </c>
      <c r="I37" s="5" t="s">
        <v>23</v>
      </c>
      <c r="J37" s="5" t="s">
        <v>24</v>
      </c>
      <c r="K37" s="5" t="s">
        <v>16</v>
      </c>
    </row>
    <row r="38" spans="1:11">
      <c r="A38" s="5" t="s">
        <v>71</v>
      </c>
      <c r="B38" s="5" t="s">
        <v>74</v>
      </c>
      <c r="C38" s="5">
        <v>1109</v>
      </c>
      <c r="D38" s="5" t="s">
        <v>46</v>
      </c>
      <c r="E38" s="6">
        <v>3</v>
      </c>
      <c r="F38" s="6">
        <v>8</v>
      </c>
      <c r="G38" s="7">
        <f>F38-E38</f>
        <v>5</v>
      </c>
      <c r="H38" s="7">
        <f>IF(F38&gt;50, G38*20%, G38*10%)</f>
        <v>0.5</v>
      </c>
      <c r="I38" s="5" t="s">
        <v>19</v>
      </c>
      <c r="J38" s="5" t="s">
        <v>20</v>
      </c>
      <c r="K38" s="5" t="s">
        <v>16</v>
      </c>
    </row>
    <row r="39" spans="1:11">
      <c r="A39" s="5" t="s">
        <v>71</v>
      </c>
      <c r="B39" s="5" t="s">
        <v>75</v>
      </c>
      <c r="C39" s="5">
        <v>2499</v>
      </c>
      <c r="D39" s="5" t="s">
        <v>40</v>
      </c>
      <c r="E39" s="6">
        <v>6.2</v>
      </c>
      <c r="F39" s="6">
        <v>9.1999999999999993</v>
      </c>
      <c r="G39" s="7">
        <f>F39-E39</f>
        <v>2.9999999999999991</v>
      </c>
      <c r="H39" s="7">
        <f>IF(F39&gt;50, G39*20%, G39*10%)</f>
        <v>0.29999999999999993</v>
      </c>
      <c r="I39" s="5" t="s">
        <v>23</v>
      </c>
      <c r="J39" s="5" t="s">
        <v>24</v>
      </c>
      <c r="K39" s="5" t="s">
        <v>16</v>
      </c>
    </row>
    <row r="40" spans="1:11">
      <c r="A40" s="5" t="s">
        <v>71</v>
      </c>
      <c r="B40" s="5" t="s">
        <v>76</v>
      </c>
      <c r="C40" s="5">
        <v>1109</v>
      </c>
      <c r="D40" s="5" t="s">
        <v>46</v>
      </c>
      <c r="E40" s="6">
        <v>3</v>
      </c>
      <c r="F40" s="6">
        <v>8</v>
      </c>
      <c r="G40" s="7">
        <f>F40-E40</f>
        <v>5</v>
      </c>
      <c r="H40" s="7">
        <f>IF(F40&gt;50, G40*20%, G40*10%)</f>
        <v>0.5</v>
      </c>
      <c r="I40" s="5" t="s">
        <v>14</v>
      </c>
      <c r="J40" s="5" t="s">
        <v>15</v>
      </c>
      <c r="K40" s="5" t="s">
        <v>16</v>
      </c>
    </row>
    <row r="41" spans="1:11">
      <c r="A41" s="5" t="s">
        <v>71</v>
      </c>
      <c r="B41" s="5" t="s">
        <v>77</v>
      </c>
      <c r="C41" s="5">
        <v>2877</v>
      </c>
      <c r="D41" s="5" t="s">
        <v>13</v>
      </c>
      <c r="E41" s="6">
        <v>11.4</v>
      </c>
      <c r="F41" s="6">
        <v>16.3</v>
      </c>
      <c r="G41" s="7">
        <f>F41-E41</f>
        <v>4.9000000000000004</v>
      </c>
      <c r="H41" s="7">
        <f>IF(F41&gt;50, G41*20%, G41*10%)</f>
        <v>0.49000000000000005</v>
      </c>
      <c r="I41" s="5" t="s">
        <v>19</v>
      </c>
      <c r="J41" s="5" t="s">
        <v>20</v>
      </c>
      <c r="K41" s="5" t="s">
        <v>16</v>
      </c>
    </row>
    <row r="42" spans="1:11">
      <c r="A42" s="5" t="s">
        <v>71</v>
      </c>
      <c r="B42" s="5" t="s">
        <v>78</v>
      </c>
      <c r="C42" s="5">
        <v>1109</v>
      </c>
      <c r="D42" s="5" t="s">
        <v>46</v>
      </c>
      <c r="E42" s="6">
        <v>3</v>
      </c>
      <c r="F42" s="6">
        <v>8</v>
      </c>
      <c r="G42" s="7">
        <f>F42-E42</f>
        <v>5</v>
      </c>
      <c r="H42" s="7">
        <f>IF(F42&gt;50, G42*20%, G42*10%)</f>
        <v>0.5</v>
      </c>
      <c r="I42" s="5" t="s">
        <v>34</v>
      </c>
      <c r="J42" s="5" t="s">
        <v>35</v>
      </c>
      <c r="K42" s="5" t="s">
        <v>16</v>
      </c>
    </row>
    <row r="43" spans="1:11">
      <c r="A43" s="5" t="s">
        <v>71</v>
      </c>
      <c r="B43" s="5" t="s">
        <v>79</v>
      </c>
      <c r="C43" s="5">
        <v>9822</v>
      </c>
      <c r="D43" s="5" t="s">
        <v>31</v>
      </c>
      <c r="E43" s="6">
        <v>58.3</v>
      </c>
      <c r="F43" s="6">
        <v>98.4</v>
      </c>
      <c r="G43" s="7">
        <f>F43-E43</f>
        <v>40.100000000000009</v>
      </c>
      <c r="H43" s="7">
        <f>IF(F43&gt;50, G43*20%, G43*10%)</f>
        <v>8.0200000000000014</v>
      </c>
      <c r="I43" s="5" t="s">
        <v>23</v>
      </c>
      <c r="J43" s="5" t="s">
        <v>24</v>
      </c>
      <c r="K43" s="5" t="s">
        <v>16</v>
      </c>
    </row>
    <row r="44" spans="1:11">
      <c r="A44" s="5" t="s">
        <v>80</v>
      </c>
      <c r="B44" s="5" t="s">
        <v>81</v>
      </c>
      <c r="C44" s="5">
        <v>9212</v>
      </c>
      <c r="D44" s="5" t="s">
        <v>29</v>
      </c>
      <c r="E44" s="6">
        <v>4</v>
      </c>
      <c r="F44" s="6">
        <v>7</v>
      </c>
      <c r="G44" s="7">
        <f>F44-E44</f>
        <v>3</v>
      </c>
      <c r="H44" s="7">
        <f>IF(F44&gt;50, G44*20%, G44*10%)</f>
        <v>0.30000000000000004</v>
      </c>
      <c r="I44" s="5" t="s">
        <v>14</v>
      </c>
      <c r="J44" s="5" t="s">
        <v>15</v>
      </c>
      <c r="K44" s="5" t="s">
        <v>16</v>
      </c>
    </row>
    <row r="45" spans="1:11">
      <c r="A45" s="5" t="s">
        <v>80</v>
      </c>
      <c r="B45" s="5" t="s">
        <v>82</v>
      </c>
      <c r="C45" s="5">
        <v>9822</v>
      </c>
      <c r="D45" s="5" t="s">
        <v>31</v>
      </c>
      <c r="E45" s="6">
        <v>58.3</v>
      </c>
      <c r="F45" s="6">
        <v>98.4</v>
      </c>
      <c r="G45" s="7">
        <f>F45-E45</f>
        <v>40.100000000000009</v>
      </c>
      <c r="H45" s="7">
        <f>IF(F45&gt;50, G45*20%, G45*10%)</f>
        <v>8.0200000000000014</v>
      </c>
      <c r="I45" s="5" t="s">
        <v>19</v>
      </c>
      <c r="J45" s="5" t="s">
        <v>20</v>
      </c>
      <c r="K45" s="5" t="s">
        <v>16</v>
      </c>
    </row>
    <row r="46" spans="1:11">
      <c r="A46" s="5" t="s">
        <v>80</v>
      </c>
      <c r="B46" s="5" t="s">
        <v>83</v>
      </c>
      <c r="C46" s="5">
        <v>9822</v>
      </c>
      <c r="D46" s="5" t="s">
        <v>31</v>
      </c>
      <c r="E46" s="6">
        <v>58.3</v>
      </c>
      <c r="F46" s="6">
        <v>98.4</v>
      </c>
      <c r="G46" s="7">
        <f>F46-E46</f>
        <v>40.100000000000009</v>
      </c>
      <c r="H46" s="7">
        <f>IF(F46&gt;50, G46*20%, G46*10%)</f>
        <v>8.0200000000000014</v>
      </c>
      <c r="I46" s="5" t="s">
        <v>19</v>
      </c>
      <c r="J46" s="5" t="s">
        <v>20</v>
      </c>
      <c r="K46" s="5" t="s">
        <v>16</v>
      </c>
    </row>
    <row r="47" spans="1:11">
      <c r="A47" s="5" t="s">
        <v>84</v>
      </c>
      <c r="B47" s="5" t="s">
        <v>85</v>
      </c>
      <c r="C47" s="5">
        <v>8722</v>
      </c>
      <c r="D47" s="5" t="s">
        <v>38</v>
      </c>
      <c r="E47" s="6">
        <v>344</v>
      </c>
      <c r="F47" s="6">
        <v>502</v>
      </c>
      <c r="G47" s="7">
        <f>F47-E47</f>
        <v>158</v>
      </c>
      <c r="H47" s="7">
        <f>IF(F47&gt;50, G47*20%, G47*10%)</f>
        <v>31.6</v>
      </c>
      <c r="I47" s="5" t="s">
        <v>19</v>
      </c>
      <c r="J47" s="5" t="s">
        <v>20</v>
      </c>
      <c r="K47" s="5" t="s">
        <v>16</v>
      </c>
    </row>
    <row r="48" spans="1:11">
      <c r="A48" s="5" t="s">
        <v>84</v>
      </c>
      <c r="B48" s="5" t="s">
        <v>86</v>
      </c>
      <c r="C48" s="5">
        <v>4421</v>
      </c>
      <c r="D48" s="5" t="s">
        <v>59</v>
      </c>
      <c r="E48" s="6">
        <v>45</v>
      </c>
      <c r="F48" s="6">
        <v>87</v>
      </c>
      <c r="G48" s="7">
        <f>F48-E48</f>
        <v>42</v>
      </c>
      <c r="H48" s="7">
        <f>IF(F48&gt;50, G48*20%, G48*10%)</f>
        <v>8.4</v>
      </c>
      <c r="I48" s="5" t="s">
        <v>19</v>
      </c>
      <c r="J48" s="5" t="s">
        <v>20</v>
      </c>
      <c r="K48" s="5" t="s">
        <v>16</v>
      </c>
    </row>
    <row r="49" spans="1:11">
      <c r="A49" s="5" t="s">
        <v>87</v>
      </c>
      <c r="B49" s="5" t="s">
        <v>88</v>
      </c>
      <c r="C49" s="5">
        <v>9822</v>
      </c>
      <c r="D49" s="5" t="s">
        <v>31</v>
      </c>
      <c r="E49" s="6">
        <v>58.3</v>
      </c>
      <c r="F49" s="6">
        <v>98.4</v>
      </c>
      <c r="G49" s="7">
        <f>F49-E49</f>
        <v>40.100000000000009</v>
      </c>
      <c r="H49" s="7">
        <f>IF(F49&gt;50, G49*20%, G49*10%)</f>
        <v>8.0200000000000014</v>
      </c>
      <c r="I49" s="5" t="s">
        <v>23</v>
      </c>
      <c r="J49" s="5" t="s">
        <v>24</v>
      </c>
      <c r="K49" s="5" t="s">
        <v>16</v>
      </c>
    </row>
    <row r="50" spans="1:11">
      <c r="A50" s="5" t="s">
        <v>87</v>
      </c>
      <c r="B50" s="5" t="s">
        <v>89</v>
      </c>
      <c r="C50" s="5">
        <v>9212</v>
      </c>
      <c r="D50" s="5" t="s">
        <v>29</v>
      </c>
      <c r="E50" s="6">
        <v>4</v>
      </c>
      <c r="F50" s="6">
        <v>7</v>
      </c>
      <c r="G50" s="7">
        <f>F50-E50</f>
        <v>3</v>
      </c>
      <c r="H50" s="7">
        <f>IF(F50&gt;50, G50*20%, G50*10%)</f>
        <v>0.30000000000000004</v>
      </c>
      <c r="I50" s="5" t="s">
        <v>19</v>
      </c>
      <c r="J50" s="5" t="s">
        <v>20</v>
      </c>
      <c r="K50" s="5" t="s">
        <v>16</v>
      </c>
    </row>
    <row r="51" spans="1:11">
      <c r="A51" s="5" t="s">
        <v>87</v>
      </c>
      <c r="B51" s="5" t="s">
        <v>90</v>
      </c>
      <c r="C51" s="5">
        <v>8722</v>
      </c>
      <c r="D51" s="5" t="s">
        <v>38</v>
      </c>
      <c r="E51" s="6">
        <v>344</v>
      </c>
      <c r="F51" s="6">
        <v>502</v>
      </c>
      <c r="G51" s="7">
        <f>F51-E51</f>
        <v>158</v>
      </c>
      <c r="H51" s="7">
        <f>IF(F51&gt;50, G51*20%, G51*10%)</f>
        <v>31.6</v>
      </c>
      <c r="I51" s="5" t="s">
        <v>14</v>
      </c>
      <c r="J51" s="5" t="s">
        <v>15</v>
      </c>
      <c r="K51" s="5" t="s">
        <v>16</v>
      </c>
    </row>
    <row r="52" spans="1:11">
      <c r="A52" s="5" t="s">
        <v>11</v>
      </c>
      <c r="B52" s="5" t="s">
        <v>91</v>
      </c>
      <c r="C52" s="5">
        <v>2242</v>
      </c>
      <c r="D52" s="5" t="s">
        <v>26</v>
      </c>
      <c r="E52" s="6">
        <v>60</v>
      </c>
      <c r="F52" s="6">
        <v>124</v>
      </c>
      <c r="G52" s="7">
        <f>F52-E52</f>
        <v>64</v>
      </c>
      <c r="H52" s="7">
        <f>IF(F52&gt;50, G52*20%, G52*10%)</f>
        <v>12.8</v>
      </c>
      <c r="I52" s="5" t="s">
        <v>14</v>
      </c>
      <c r="J52" s="5" t="s">
        <v>15</v>
      </c>
      <c r="K52" s="5" t="s">
        <v>92</v>
      </c>
    </row>
    <row r="53" spans="1:11">
      <c r="A53" s="5" t="s">
        <v>11</v>
      </c>
      <c r="B53" s="5" t="s">
        <v>93</v>
      </c>
      <c r="C53" s="5">
        <v>1109</v>
      </c>
      <c r="D53" s="5" t="s">
        <v>46</v>
      </c>
      <c r="E53" s="6">
        <v>3</v>
      </c>
      <c r="F53" s="6">
        <v>8</v>
      </c>
      <c r="G53" s="7">
        <f>F53-E53</f>
        <v>5</v>
      </c>
      <c r="H53" s="7">
        <f>IF(F53&gt;50, G53*20%, G53*10%)</f>
        <v>0.5</v>
      </c>
      <c r="I53" s="5" t="s">
        <v>19</v>
      </c>
      <c r="J53" s="5" t="s">
        <v>20</v>
      </c>
      <c r="K53" s="5" t="s">
        <v>92</v>
      </c>
    </row>
    <row r="54" spans="1:11">
      <c r="A54" s="5" t="s">
        <v>11</v>
      </c>
      <c r="B54" s="5" t="s">
        <v>94</v>
      </c>
      <c r="C54" s="5">
        <v>2499</v>
      </c>
      <c r="D54" s="5" t="s">
        <v>40</v>
      </c>
      <c r="E54" s="6">
        <v>6.2</v>
      </c>
      <c r="F54" s="6">
        <v>9.1999999999999993</v>
      </c>
      <c r="G54" s="7">
        <f>F54-E54</f>
        <v>2.9999999999999991</v>
      </c>
      <c r="H54" s="7">
        <f>IF(F54&gt;50, G54*20%, G54*10%)</f>
        <v>0.29999999999999993</v>
      </c>
      <c r="I54" s="5" t="s">
        <v>34</v>
      </c>
      <c r="J54" s="5" t="s">
        <v>35</v>
      </c>
      <c r="K54" s="5" t="s">
        <v>92</v>
      </c>
    </row>
    <row r="55" spans="1:11">
      <c r="A55" s="5" t="s">
        <v>27</v>
      </c>
      <c r="B55" s="5" t="s">
        <v>95</v>
      </c>
      <c r="C55" s="5">
        <v>2242</v>
      </c>
      <c r="D55" s="5" t="s">
        <v>26</v>
      </c>
      <c r="E55" s="6">
        <v>60</v>
      </c>
      <c r="F55" s="6">
        <v>124</v>
      </c>
      <c r="G55" s="7">
        <f>F55-E55</f>
        <v>64</v>
      </c>
      <c r="H55" s="7">
        <f>IF(F55&gt;50, G55*20%, G55*10%)</f>
        <v>12.8</v>
      </c>
      <c r="I55" s="5" t="s">
        <v>19</v>
      </c>
      <c r="J55" s="5" t="s">
        <v>20</v>
      </c>
      <c r="K55" s="5" t="s">
        <v>92</v>
      </c>
    </row>
    <row r="56" spans="1:11">
      <c r="A56" s="5" t="s">
        <v>27</v>
      </c>
      <c r="B56" s="5" t="s">
        <v>96</v>
      </c>
      <c r="C56" s="5">
        <v>6622</v>
      </c>
      <c r="D56" s="5" t="s">
        <v>18</v>
      </c>
      <c r="E56" s="6">
        <v>42</v>
      </c>
      <c r="F56" s="6">
        <v>77</v>
      </c>
      <c r="G56" s="7">
        <f>F56-E56</f>
        <v>35</v>
      </c>
      <c r="H56" s="7">
        <f>IF(F56&gt;50, G56*20%, G56*10%)</f>
        <v>7</v>
      </c>
      <c r="I56" s="5" t="s">
        <v>34</v>
      </c>
      <c r="J56" s="5" t="s">
        <v>35</v>
      </c>
      <c r="K56" s="5" t="s">
        <v>92</v>
      </c>
    </row>
    <row r="57" spans="1:11">
      <c r="A57" s="5" t="s">
        <v>27</v>
      </c>
      <c r="B57" s="5" t="s">
        <v>97</v>
      </c>
      <c r="C57" s="5">
        <v>4421</v>
      </c>
      <c r="D57" s="5" t="s">
        <v>59</v>
      </c>
      <c r="E57" s="6">
        <v>45</v>
      </c>
      <c r="F57" s="6">
        <v>87</v>
      </c>
      <c r="G57" s="7">
        <f>F57-E57</f>
        <v>42</v>
      </c>
      <c r="H57" s="7">
        <f>IF(F57&gt;50, G57*20%, G57*10%)</f>
        <v>8.4</v>
      </c>
      <c r="I57" s="5" t="s">
        <v>23</v>
      </c>
      <c r="J57" s="5" t="s">
        <v>24</v>
      </c>
      <c r="K57" s="5" t="s">
        <v>92</v>
      </c>
    </row>
    <row r="58" spans="1:11">
      <c r="A58" s="5" t="s">
        <v>27</v>
      </c>
      <c r="B58" s="5" t="s">
        <v>98</v>
      </c>
      <c r="C58" s="5">
        <v>9212</v>
      </c>
      <c r="D58" s="5" t="s">
        <v>29</v>
      </c>
      <c r="E58" s="6">
        <v>4</v>
      </c>
      <c r="F58" s="6">
        <v>7</v>
      </c>
      <c r="G58" s="7">
        <f>F58-E58</f>
        <v>3</v>
      </c>
      <c r="H58" s="7">
        <f>IF(F58&gt;50, G58*20%, G58*10%)</f>
        <v>0.30000000000000004</v>
      </c>
      <c r="I58" s="5" t="s">
        <v>23</v>
      </c>
      <c r="J58" s="5" t="s">
        <v>24</v>
      </c>
      <c r="K58" s="5" t="s">
        <v>92</v>
      </c>
    </row>
    <row r="59" spans="1:11">
      <c r="A59" s="5" t="s">
        <v>27</v>
      </c>
      <c r="B59" s="5" t="s">
        <v>99</v>
      </c>
      <c r="C59" s="5">
        <v>9822</v>
      </c>
      <c r="D59" s="5" t="s">
        <v>31</v>
      </c>
      <c r="E59" s="6">
        <v>58.3</v>
      </c>
      <c r="F59" s="6">
        <v>98.4</v>
      </c>
      <c r="G59" s="7">
        <f>F59-E59</f>
        <v>40.100000000000009</v>
      </c>
      <c r="H59" s="7">
        <f>IF(F59&gt;50, G59*20%, G59*10%)</f>
        <v>8.0200000000000014</v>
      </c>
      <c r="I59" s="5" t="s">
        <v>34</v>
      </c>
      <c r="J59" s="5" t="s">
        <v>35</v>
      </c>
      <c r="K59" s="5" t="s">
        <v>92</v>
      </c>
    </row>
    <row r="60" spans="1:11">
      <c r="A60" s="5" t="s">
        <v>27</v>
      </c>
      <c r="B60" s="5" t="s">
        <v>100</v>
      </c>
      <c r="C60" s="5">
        <v>4421</v>
      </c>
      <c r="D60" s="5" t="s">
        <v>59</v>
      </c>
      <c r="E60" s="6">
        <v>45</v>
      </c>
      <c r="F60" s="6">
        <v>87</v>
      </c>
      <c r="G60" s="7">
        <f>F60-E60</f>
        <v>42</v>
      </c>
      <c r="H60" s="7">
        <f>IF(F60&gt;50, G60*20%, G60*10%)</f>
        <v>8.4</v>
      </c>
      <c r="I60" s="5" t="s">
        <v>19</v>
      </c>
      <c r="J60" s="5" t="s">
        <v>20</v>
      </c>
      <c r="K60" s="5" t="s">
        <v>92</v>
      </c>
    </row>
    <row r="61" spans="1:11">
      <c r="A61" s="5" t="s">
        <v>101</v>
      </c>
      <c r="B61" s="5" t="s">
        <v>102</v>
      </c>
      <c r="C61" s="5">
        <v>9822</v>
      </c>
      <c r="D61" s="5" t="s">
        <v>31</v>
      </c>
      <c r="E61" s="6">
        <v>58.3</v>
      </c>
      <c r="F61" s="6">
        <v>98.4</v>
      </c>
      <c r="G61" s="7">
        <f>F61-E61</f>
        <v>40.100000000000009</v>
      </c>
      <c r="H61" s="7">
        <f>IF(F61&gt;50, G61*20%, G61*10%)</f>
        <v>8.0200000000000014</v>
      </c>
      <c r="I61" s="5" t="s">
        <v>19</v>
      </c>
      <c r="J61" s="5" t="s">
        <v>20</v>
      </c>
      <c r="K61" s="5" t="s">
        <v>92</v>
      </c>
    </row>
    <row r="62" spans="1:11">
      <c r="A62" s="5" t="s">
        <v>101</v>
      </c>
      <c r="B62" s="5" t="s">
        <v>103</v>
      </c>
      <c r="C62" s="5">
        <v>4421</v>
      </c>
      <c r="D62" s="5" t="s">
        <v>59</v>
      </c>
      <c r="E62" s="6">
        <v>45</v>
      </c>
      <c r="F62" s="6">
        <v>87</v>
      </c>
      <c r="G62" s="7">
        <f>F62-E62</f>
        <v>42</v>
      </c>
      <c r="H62" s="7">
        <f>IF(F62&gt;50, G62*20%, G62*10%)</f>
        <v>8.4</v>
      </c>
      <c r="I62" s="5" t="s">
        <v>14</v>
      </c>
      <c r="J62" s="5" t="s">
        <v>15</v>
      </c>
      <c r="K62" s="5" t="s">
        <v>92</v>
      </c>
    </row>
    <row r="63" spans="1:11">
      <c r="A63" s="5" t="s">
        <v>36</v>
      </c>
      <c r="B63" s="5" t="s">
        <v>104</v>
      </c>
      <c r="C63" s="5">
        <v>1109</v>
      </c>
      <c r="D63" s="5" t="s">
        <v>46</v>
      </c>
      <c r="E63" s="6">
        <v>3</v>
      </c>
      <c r="F63" s="6">
        <v>8</v>
      </c>
      <c r="G63" s="7">
        <f>F63-E63</f>
        <v>5</v>
      </c>
      <c r="H63" s="7">
        <f>IF(F63&gt;50, G63*20%, G63*10%)</f>
        <v>0.5</v>
      </c>
      <c r="I63" s="5" t="s">
        <v>19</v>
      </c>
      <c r="J63" s="5" t="s">
        <v>20</v>
      </c>
      <c r="K63" s="5" t="s">
        <v>92</v>
      </c>
    </row>
    <row r="64" spans="1:11">
      <c r="A64" s="5" t="s">
        <v>36</v>
      </c>
      <c r="B64" s="5" t="s">
        <v>105</v>
      </c>
      <c r="C64" s="5">
        <v>1109</v>
      </c>
      <c r="D64" s="5" t="s">
        <v>46</v>
      </c>
      <c r="E64" s="6">
        <v>3</v>
      </c>
      <c r="F64" s="6">
        <v>8</v>
      </c>
      <c r="G64" s="7">
        <f>F64-E64</f>
        <v>5</v>
      </c>
      <c r="H64" s="7">
        <f>IF(F64&gt;50, G64*20%, G64*10%)</f>
        <v>0.5</v>
      </c>
      <c r="I64" s="5" t="s">
        <v>34</v>
      </c>
      <c r="J64" s="5" t="s">
        <v>35</v>
      </c>
      <c r="K64" s="5" t="s">
        <v>92</v>
      </c>
    </row>
    <row r="65" spans="1:11">
      <c r="A65" s="5" t="s">
        <v>36</v>
      </c>
      <c r="B65" s="5" t="s">
        <v>106</v>
      </c>
      <c r="C65" s="5">
        <v>9822</v>
      </c>
      <c r="D65" s="5" t="s">
        <v>31</v>
      </c>
      <c r="E65" s="6">
        <v>58.3</v>
      </c>
      <c r="F65" s="6">
        <v>98.4</v>
      </c>
      <c r="G65" s="7">
        <f>F65-E65</f>
        <v>40.100000000000009</v>
      </c>
      <c r="H65" s="7">
        <f>IF(F65&gt;50, G65*20%, G65*10%)</f>
        <v>8.0200000000000014</v>
      </c>
      <c r="I65" s="5" t="s">
        <v>34</v>
      </c>
      <c r="J65" s="5" t="s">
        <v>35</v>
      </c>
      <c r="K65" s="5" t="s">
        <v>92</v>
      </c>
    </row>
    <row r="66" spans="1:11">
      <c r="A66" s="5" t="s">
        <v>42</v>
      </c>
      <c r="B66" s="5" t="s">
        <v>107</v>
      </c>
      <c r="C66" s="5">
        <v>2877</v>
      </c>
      <c r="D66" s="5" t="s">
        <v>13</v>
      </c>
      <c r="E66" s="6">
        <v>11.4</v>
      </c>
      <c r="F66" s="6">
        <v>16.3</v>
      </c>
      <c r="G66" s="7">
        <f>F66-E66</f>
        <v>4.9000000000000004</v>
      </c>
      <c r="H66" s="7">
        <f>IF(F66&gt;50, G66*20%, G66*10%)</f>
        <v>0.49000000000000005</v>
      </c>
      <c r="I66" s="5" t="s">
        <v>34</v>
      </c>
      <c r="J66" s="5" t="s">
        <v>35</v>
      </c>
      <c r="K66" s="5" t="s">
        <v>92</v>
      </c>
    </row>
    <row r="67" spans="1:11">
      <c r="A67" s="5" t="s">
        <v>42</v>
      </c>
      <c r="B67" s="5" t="s">
        <v>108</v>
      </c>
      <c r="C67" s="5">
        <v>8722</v>
      </c>
      <c r="D67" s="5" t="s">
        <v>38</v>
      </c>
      <c r="E67" s="6">
        <v>344</v>
      </c>
      <c r="F67" s="6">
        <v>502</v>
      </c>
      <c r="G67" s="7">
        <f>F67-E67</f>
        <v>158</v>
      </c>
      <c r="H67" s="7">
        <f>IF(F67&gt;50, G67*20%, G67*10%)</f>
        <v>31.6</v>
      </c>
      <c r="I67" s="5" t="s">
        <v>14</v>
      </c>
      <c r="J67" s="5" t="s">
        <v>15</v>
      </c>
      <c r="K67" s="5" t="s">
        <v>92</v>
      </c>
    </row>
    <row r="68" spans="1:11">
      <c r="A68" s="5" t="s">
        <v>42</v>
      </c>
      <c r="B68" s="5" t="s">
        <v>109</v>
      </c>
      <c r="C68" s="5">
        <v>2499</v>
      </c>
      <c r="D68" s="5" t="s">
        <v>40</v>
      </c>
      <c r="E68" s="6">
        <v>6.2</v>
      </c>
      <c r="F68" s="6">
        <v>9.1999999999999993</v>
      </c>
      <c r="G68" s="7">
        <f>F68-E68</f>
        <v>2.9999999999999991</v>
      </c>
      <c r="H68" s="7">
        <f>IF(F68&gt;50, G68*20%, G68*10%)</f>
        <v>0.29999999999999993</v>
      </c>
      <c r="I68" s="5" t="s">
        <v>19</v>
      </c>
      <c r="J68" s="5" t="s">
        <v>20</v>
      </c>
      <c r="K68" s="5" t="s">
        <v>92</v>
      </c>
    </row>
    <row r="69" spans="1:11">
      <c r="A69" s="5" t="s">
        <v>51</v>
      </c>
      <c r="B69" s="5" t="s">
        <v>110</v>
      </c>
      <c r="C69" s="5">
        <v>2877</v>
      </c>
      <c r="D69" s="5" t="s">
        <v>13</v>
      </c>
      <c r="E69" s="6">
        <v>11.4</v>
      </c>
      <c r="F69" s="6">
        <v>16.3</v>
      </c>
      <c r="G69" s="7">
        <f>F69-E69</f>
        <v>4.9000000000000004</v>
      </c>
      <c r="H69" s="7">
        <f>IF(F69&gt;50, G69*20%, G69*10%)</f>
        <v>0.49000000000000005</v>
      </c>
      <c r="I69" s="5" t="s">
        <v>19</v>
      </c>
      <c r="J69" s="5" t="s">
        <v>20</v>
      </c>
      <c r="K69" s="5" t="s">
        <v>92</v>
      </c>
    </row>
    <row r="70" spans="1:11">
      <c r="A70" s="5" t="s">
        <v>51</v>
      </c>
      <c r="B70" s="5" t="s">
        <v>111</v>
      </c>
      <c r="C70" s="5">
        <v>2499</v>
      </c>
      <c r="D70" s="5" t="s">
        <v>40</v>
      </c>
      <c r="E70" s="6">
        <v>6.2</v>
      </c>
      <c r="F70" s="6">
        <v>9.1999999999999993</v>
      </c>
      <c r="G70" s="7">
        <f>F70-E70</f>
        <v>2.9999999999999991</v>
      </c>
      <c r="H70" s="7">
        <f>IF(F70&gt;50, G70*20%, G70*10%)</f>
        <v>0.29999999999999993</v>
      </c>
      <c r="I70" s="5" t="s">
        <v>19</v>
      </c>
      <c r="J70" s="5" t="s">
        <v>20</v>
      </c>
      <c r="K70" s="5" t="s">
        <v>92</v>
      </c>
    </row>
    <row r="71" spans="1:11">
      <c r="A71" s="5" t="s">
        <v>51</v>
      </c>
      <c r="B71" s="5" t="s">
        <v>112</v>
      </c>
      <c r="C71" s="5">
        <v>9822</v>
      </c>
      <c r="D71" s="5" t="s">
        <v>31</v>
      </c>
      <c r="E71" s="6">
        <v>58.3</v>
      </c>
      <c r="F71" s="6">
        <v>98.4</v>
      </c>
      <c r="G71" s="7">
        <f>F71-E71</f>
        <v>40.100000000000009</v>
      </c>
      <c r="H71" s="7">
        <f>IF(F71&gt;50, G71*20%, G71*10%)</f>
        <v>8.0200000000000014</v>
      </c>
      <c r="I71" s="5" t="s">
        <v>34</v>
      </c>
      <c r="J71" s="5" t="s">
        <v>35</v>
      </c>
      <c r="K71" s="5" t="s">
        <v>92</v>
      </c>
    </row>
    <row r="72" spans="1:11">
      <c r="A72" s="5" t="s">
        <v>51</v>
      </c>
      <c r="B72" s="5" t="s">
        <v>113</v>
      </c>
      <c r="C72" s="5">
        <v>8722</v>
      </c>
      <c r="D72" s="5" t="s">
        <v>38</v>
      </c>
      <c r="E72" s="6">
        <v>344</v>
      </c>
      <c r="F72" s="6">
        <v>502</v>
      </c>
      <c r="G72" s="7">
        <f>F72-E72</f>
        <v>158</v>
      </c>
      <c r="H72" s="7">
        <f>IF(F72&gt;50, G72*20%, G72*10%)</f>
        <v>31.6</v>
      </c>
      <c r="I72" s="5" t="s">
        <v>34</v>
      </c>
      <c r="J72" s="5" t="s">
        <v>35</v>
      </c>
      <c r="K72" s="5" t="s">
        <v>92</v>
      </c>
    </row>
    <row r="73" spans="1:11">
      <c r="A73" s="5" t="s">
        <v>51</v>
      </c>
      <c r="B73" s="5" t="s">
        <v>114</v>
      </c>
      <c r="C73" s="5">
        <v>6622</v>
      </c>
      <c r="D73" s="5" t="s">
        <v>18</v>
      </c>
      <c r="E73" s="6">
        <v>42</v>
      </c>
      <c r="F73" s="6">
        <v>77</v>
      </c>
      <c r="G73" s="7">
        <f>F73-E73</f>
        <v>35</v>
      </c>
      <c r="H73" s="7">
        <f>IF(F73&gt;50, G73*20%, G73*10%)</f>
        <v>7</v>
      </c>
      <c r="I73" s="5" t="s">
        <v>23</v>
      </c>
      <c r="J73" s="5" t="s">
        <v>24</v>
      </c>
      <c r="K73" s="5" t="s">
        <v>92</v>
      </c>
    </row>
    <row r="74" spans="1:11">
      <c r="A74" s="5" t="s">
        <v>51</v>
      </c>
      <c r="B74" s="5" t="s">
        <v>115</v>
      </c>
      <c r="C74" s="5">
        <v>9822</v>
      </c>
      <c r="D74" s="5" t="s">
        <v>31</v>
      </c>
      <c r="E74" s="6">
        <v>58.3</v>
      </c>
      <c r="F74" s="6">
        <v>98.4</v>
      </c>
      <c r="G74" s="7">
        <f>F74-E74</f>
        <v>40.100000000000009</v>
      </c>
      <c r="H74" s="7">
        <f>IF(F74&gt;50, G74*20%, G74*10%)</f>
        <v>8.0200000000000014</v>
      </c>
      <c r="I74" s="5" t="s">
        <v>14</v>
      </c>
      <c r="J74" s="5" t="s">
        <v>15</v>
      </c>
      <c r="K74" s="5" t="s">
        <v>92</v>
      </c>
    </row>
    <row r="75" spans="1:11">
      <c r="A75" s="5" t="s">
        <v>51</v>
      </c>
      <c r="B75" s="5" t="s">
        <v>116</v>
      </c>
      <c r="C75" s="5">
        <v>9822</v>
      </c>
      <c r="D75" s="5" t="s">
        <v>31</v>
      </c>
      <c r="E75" s="6">
        <v>58.3</v>
      </c>
      <c r="F75" s="6">
        <v>98.4</v>
      </c>
      <c r="G75" s="7">
        <f>F75-E75</f>
        <v>40.100000000000009</v>
      </c>
      <c r="H75" s="7">
        <f>IF(F75&gt;50, G75*20%, G75*10%)</f>
        <v>8.0200000000000014</v>
      </c>
      <c r="I75" s="5" t="s">
        <v>34</v>
      </c>
      <c r="J75" s="5" t="s">
        <v>35</v>
      </c>
      <c r="K75" s="5" t="s">
        <v>92</v>
      </c>
    </row>
    <row r="76" spans="1:11">
      <c r="A76" s="5" t="s">
        <v>51</v>
      </c>
      <c r="B76" s="5" t="s">
        <v>117</v>
      </c>
      <c r="C76" s="5">
        <v>2242</v>
      </c>
      <c r="D76" s="5" t="s">
        <v>26</v>
      </c>
      <c r="E76" s="6">
        <v>60</v>
      </c>
      <c r="F76" s="6">
        <v>124</v>
      </c>
      <c r="G76" s="7">
        <f>F76-E76</f>
        <v>64</v>
      </c>
      <c r="H76" s="7">
        <f>IF(F76&gt;50, G76*20%, G76*10%)</f>
        <v>12.8</v>
      </c>
      <c r="I76" s="5" t="s">
        <v>19</v>
      </c>
      <c r="J76" s="5" t="s">
        <v>20</v>
      </c>
      <c r="K76" s="5" t="s">
        <v>92</v>
      </c>
    </row>
    <row r="77" spans="1:11">
      <c r="A77" s="5" t="s">
        <v>60</v>
      </c>
      <c r="B77" s="5" t="s">
        <v>118</v>
      </c>
      <c r="C77" s="5">
        <v>4421</v>
      </c>
      <c r="D77" s="5" t="s">
        <v>59</v>
      </c>
      <c r="E77" s="6">
        <v>45</v>
      </c>
      <c r="F77" s="6">
        <v>87</v>
      </c>
      <c r="G77" s="7">
        <f>F77-E77</f>
        <v>42</v>
      </c>
      <c r="H77" s="7">
        <f>IF(F77&gt;50, G77*20%, G77*10%)</f>
        <v>8.4</v>
      </c>
      <c r="I77" s="5" t="s">
        <v>19</v>
      </c>
      <c r="J77" s="5" t="s">
        <v>20</v>
      </c>
      <c r="K77" s="5" t="s">
        <v>92</v>
      </c>
    </row>
    <row r="78" spans="1:11">
      <c r="A78" s="5" t="s">
        <v>60</v>
      </c>
      <c r="B78" s="5" t="s">
        <v>119</v>
      </c>
      <c r="C78" s="5">
        <v>1109</v>
      </c>
      <c r="D78" s="5" t="s">
        <v>46</v>
      </c>
      <c r="E78" s="6">
        <v>3</v>
      </c>
      <c r="F78" s="6">
        <v>8</v>
      </c>
      <c r="G78" s="7">
        <f>F78-E78</f>
        <v>5</v>
      </c>
      <c r="H78" s="7">
        <f>IF(F78&gt;50, G78*20%, G78*10%)</f>
        <v>0.5</v>
      </c>
      <c r="I78" s="5" t="s">
        <v>14</v>
      </c>
      <c r="J78" s="5" t="s">
        <v>15</v>
      </c>
      <c r="K78" s="5" t="s">
        <v>92</v>
      </c>
    </row>
    <row r="79" spans="1:11">
      <c r="A79" s="5" t="s">
        <v>60</v>
      </c>
      <c r="B79" s="5" t="s">
        <v>120</v>
      </c>
      <c r="C79" s="5">
        <v>2499</v>
      </c>
      <c r="D79" s="5" t="s">
        <v>40</v>
      </c>
      <c r="E79" s="6">
        <v>6.2</v>
      </c>
      <c r="F79" s="6">
        <v>9.1999999999999993</v>
      </c>
      <c r="G79" s="7">
        <f>F79-E79</f>
        <v>2.9999999999999991</v>
      </c>
      <c r="H79" s="7">
        <f>IF(F79&gt;50, G79*20%, G79*10%)</f>
        <v>0.29999999999999993</v>
      </c>
      <c r="I79" s="5" t="s">
        <v>14</v>
      </c>
      <c r="J79" s="5" t="s">
        <v>15</v>
      </c>
      <c r="K79" s="5" t="s">
        <v>92</v>
      </c>
    </row>
    <row r="80" spans="1:11">
      <c r="A80" s="5" t="s">
        <v>60</v>
      </c>
      <c r="B80" s="5" t="s">
        <v>121</v>
      </c>
      <c r="C80" s="5">
        <v>2877</v>
      </c>
      <c r="D80" s="5" t="s">
        <v>13</v>
      </c>
      <c r="E80" s="6">
        <v>11.4</v>
      </c>
      <c r="F80" s="6">
        <v>16.3</v>
      </c>
      <c r="G80" s="7">
        <f>F80-E80</f>
        <v>4.9000000000000004</v>
      </c>
      <c r="H80" s="7">
        <f>IF(F80&gt;50, G80*20%, G80*10%)</f>
        <v>0.49000000000000005</v>
      </c>
      <c r="I80" s="5" t="s">
        <v>14</v>
      </c>
      <c r="J80" s="5" t="s">
        <v>15</v>
      </c>
      <c r="K80" s="5" t="s">
        <v>92</v>
      </c>
    </row>
    <row r="81" spans="1:11">
      <c r="A81" s="5" t="s">
        <v>60</v>
      </c>
      <c r="B81" s="5" t="s">
        <v>122</v>
      </c>
      <c r="C81" s="5">
        <v>2877</v>
      </c>
      <c r="D81" s="5" t="s">
        <v>13</v>
      </c>
      <c r="E81" s="6">
        <v>11.4</v>
      </c>
      <c r="F81" s="6">
        <v>16.3</v>
      </c>
      <c r="G81" s="7">
        <f>F81-E81</f>
        <v>4.9000000000000004</v>
      </c>
      <c r="H81" s="7">
        <f>IF(F81&gt;50, G81*20%, G81*10%)</f>
        <v>0.49000000000000005</v>
      </c>
      <c r="I81" s="5" t="s">
        <v>19</v>
      </c>
      <c r="J81" s="5" t="s">
        <v>20</v>
      </c>
      <c r="K81" s="5" t="s">
        <v>92</v>
      </c>
    </row>
    <row r="82" spans="1:11">
      <c r="A82" s="5" t="s">
        <v>60</v>
      </c>
      <c r="B82" s="5" t="s">
        <v>123</v>
      </c>
      <c r="C82" s="5">
        <v>6119</v>
      </c>
      <c r="D82" s="5" t="s">
        <v>22</v>
      </c>
      <c r="E82" s="6">
        <v>9</v>
      </c>
      <c r="F82" s="6">
        <v>14</v>
      </c>
      <c r="G82" s="7">
        <f>F82-E82</f>
        <v>5</v>
      </c>
      <c r="H82" s="7">
        <f>IF(F82&gt;50, G82*20%, G82*10%)</f>
        <v>0.5</v>
      </c>
      <c r="I82" s="5" t="s">
        <v>19</v>
      </c>
      <c r="J82" s="5" t="s">
        <v>20</v>
      </c>
      <c r="K82" s="5" t="s">
        <v>92</v>
      </c>
    </row>
    <row r="83" spans="1:11">
      <c r="A83" s="5" t="s">
        <v>66</v>
      </c>
      <c r="B83" s="5" t="s">
        <v>124</v>
      </c>
      <c r="C83" s="5">
        <v>2499</v>
      </c>
      <c r="D83" s="5" t="s">
        <v>40</v>
      </c>
      <c r="E83" s="6">
        <v>6.2</v>
      </c>
      <c r="F83" s="6">
        <v>9.1999999999999993</v>
      </c>
      <c r="G83" s="7">
        <f>F83-E83</f>
        <v>2.9999999999999991</v>
      </c>
      <c r="H83" s="7">
        <f>IF(F83&gt;50, G83*20%, G83*10%)</f>
        <v>0.29999999999999993</v>
      </c>
      <c r="I83" s="5" t="s">
        <v>23</v>
      </c>
      <c r="J83" s="5" t="s">
        <v>24</v>
      </c>
      <c r="K83" s="5" t="s">
        <v>92</v>
      </c>
    </row>
    <row r="84" spans="1:11">
      <c r="A84" s="5" t="s">
        <v>66</v>
      </c>
      <c r="B84" s="5" t="s">
        <v>125</v>
      </c>
      <c r="C84" s="5">
        <v>2877</v>
      </c>
      <c r="D84" s="5" t="s">
        <v>13</v>
      </c>
      <c r="E84" s="6">
        <v>11.4</v>
      </c>
      <c r="F84" s="6">
        <v>16.3</v>
      </c>
      <c r="G84" s="7">
        <f>F84-E84</f>
        <v>4.9000000000000004</v>
      </c>
      <c r="H84" s="7">
        <f>IF(F84&gt;50, G84*20%, G84*10%)</f>
        <v>0.49000000000000005</v>
      </c>
      <c r="I84" s="5" t="s">
        <v>34</v>
      </c>
      <c r="J84" s="5" t="s">
        <v>35</v>
      </c>
      <c r="K84" s="5" t="s">
        <v>92</v>
      </c>
    </row>
    <row r="85" spans="1:11">
      <c r="A85" s="5" t="s">
        <v>66</v>
      </c>
      <c r="B85" s="5" t="s">
        <v>126</v>
      </c>
      <c r="C85" s="5">
        <v>2242</v>
      </c>
      <c r="D85" s="5" t="s">
        <v>26</v>
      </c>
      <c r="E85" s="6">
        <v>60</v>
      </c>
      <c r="F85" s="6">
        <v>124</v>
      </c>
      <c r="G85" s="7">
        <f>F85-E85</f>
        <v>64</v>
      </c>
      <c r="H85" s="7">
        <f>IF(F85&gt;50, G85*20%, G85*10%)</f>
        <v>12.8</v>
      </c>
      <c r="I85" s="5" t="s">
        <v>19</v>
      </c>
      <c r="J85" s="5" t="s">
        <v>20</v>
      </c>
      <c r="K85" s="5" t="s">
        <v>92</v>
      </c>
    </row>
    <row r="86" spans="1:11">
      <c r="A86" s="5" t="s">
        <v>66</v>
      </c>
      <c r="B86" s="5" t="s">
        <v>127</v>
      </c>
      <c r="C86" s="5">
        <v>2877</v>
      </c>
      <c r="D86" s="5" t="s">
        <v>13</v>
      </c>
      <c r="E86" s="6">
        <v>11.4</v>
      </c>
      <c r="F86" s="6">
        <v>16.3</v>
      </c>
      <c r="G86" s="7">
        <f>F86-E86</f>
        <v>4.9000000000000004</v>
      </c>
      <c r="H86" s="7">
        <f>IF(F86&gt;50, G86*20%, G86*10%)</f>
        <v>0.49000000000000005</v>
      </c>
      <c r="I86" s="5" t="s">
        <v>19</v>
      </c>
      <c r="J86" s="5" t="s">
        <v>20</v>
      </c>
      <c r="K86" s="5" t="s">
        <v>92</v>
      </c>
    </row>
    <row r="87" spans="1:11">
      <c r="A87" s="5" t="s">
        <v>71</v>
      </c>
      <c r="B87" s="5" t="s">
        <v>128</v>
      </c>
      <c r="C87" s="5">
        <v>1109</v>
      </c>
      <c r="D87" s="5" t="s">
        <v>46</v>
      </c>
      <c r="E87" s="6">
        <v>3</v>
      </c>
      <c r="F87" s="6">
        <v>8</v>
      </c>
      <c r="G87" s="7">
        <f>F87-E87</f>
        <v>5</v>
      </c>
      <c r="H87" s="7">
        <f>IF(F87&gt;50, G87*20%, G87*10%)</f>
        <v>0.5</v>
      </c>
      <c r="I87" s="5" t="s">
        <v>19</v>
      </c>
      <c r="J87" s="5" t="s">
        <v>20</v>
      </c>
      <c r="K87" s="5" t="s">
        <v>92</v>
      </c>
    </row>
    <row r="88" spans="1:11">
      <c r="A88" s="5" t="s">
        <v>71</v>
      </c>
      <c r="B88" s="5" t="s">
        <v>129</v>
      </c>
      <c r="C88" s="5">
        <v>6119</v>
      </c>
      <c r="D88" s="5" t="s">
        <v>22</v>
      </c>
      <c r="E88" s="6">
        <v>9</v>
      </c>
      <c r="F88" s="6">
        <v>14</v>
      </c>
      <c r="G88" s="7">
        <f>F88-E88</f>
        <v>5</v>
      </c>
      <c r="H88" s="7">
        <f>IF(F88&gt;50, G88*20%, G88*10%)</f>
        <v>0.5</v>
      </c>
      <c r="I88" s="5" t="s">
        <v>34</v>
      </c>
      <c r="J88" s="5" t="s">
        <v>35</v>
      </c>
      <c r="K88" s="5" t="s">
        <v>92</v>
      </c>
    </row>
    <row r="89" spans="1:11">
      <c r="A89" s="5" t="s">
        <v>71</v>
      </c>
      <c r="B89" s="5" t="s">
        <v>130</v>
      </c>
      <c r="C89" s="5">
        <v>6622</v>
      </c>
      <c r="D89" s="5" t="s">
        <v>18</v>
      </c>
      <c r="E89" s="6">
        <v>42</v>
      </c>
      <c r="F89" s="6">
        <v>77</v>
      </c>
      <c r="G89" s="7">
        <f>F89-E89</f>
        <v>35</v>
      </c>
      <c r="H89" s="7">
        <f>IF(F89&gt;50, G89*20%, G89*10%)</f>
        <v>7</v>
      </c>
      <c r="I89" s="5" t="s">
        <v>19</v>
      </c>
      <c r="J89" s="5" t="s">
        <v>20</v>
      </c>
      <c r="K89" s="5" t="s">
        <v>92</v>
      </c>
    </row>
    <row r="90" spans="1:11">
      <c r="A90" s="5" t="s">
        <v>71</v>
      </c>
      <c r="B90" s="5" t="s">
        <v>131</v>
      </c>
      <c r="C90" s="5">
        <v>1109</v>
      </c>
      <c r="D90" s="5" t="s">
        <v>46</v>
      </c>
      <c r="E90" s="6">
        <v>3</v>
      </c>
      <c r="F90" s="6">
        <v>8</v>
      </c>
      <c r="G90" s="7">
        <f>F90-E90</f>
        <v>5</v>
      </c>
      <c r="H90" s="7">
        <f>IF(F90&gt;50, G90*20%, G90*10%)</f>
        <v>0.5</v>
      </c>
      <c r="I90" s="5" t="s">
        <v>23</v>
      </c>
      <c r="J90" s="5" t="s">
        <v>24</v>
      </c>
      <c r="K90" s="5" t="s">
        <v>92</v>
      </c>
    </row>
    <row r="91" spans="1:11">
      <c r="A91" s="5" t="s">
        <v>80</v>
      </c>
      <c r="B91" s="5" t="s">
        <v>132</v>
      </c>
      <c r="C91" s="5">
        <v>6622</v>
      </c>
      <c r="D91" s="5" t="s">
        <v>18</v>
      </c>
      <c r="E91" s="6">
        <v>42</v>
      </c>
      <c r="F91" s="6">
        <v>77</v>
      </c>
      <c r="G91" s="7">
        <f>F91-E91</f>
        <v>35</v>
      </c>
      <c r="H91" s="7">
        <f>IF(F91&gt;50, G91*20%, G91*10%)</f>
        <v>7</v>
      </c>
      <c r="I91" s="5" t="s">
        <v>19</v>
      </c>
      <c r="J91" s="5" t="s">
        <v>20</v>
      </c>
      <c r="K91" s="5" t="s">
        <v>92</v>
      </c>
    </row>
    <row r="92" spans="1:11">
      <c r="A92" s="5" t="s">
        <v>80</v>
      </c>
      <c r="B92" s="5" t="s">
        <v>133</v>
      </c>
      <c r="C92" s="5">
        <v>4421</v>
      </c>
      <c r="D92" s="5" t="s">
        <v>59</v>
      </c>
      <c r="E92" s="6">
        <v>45</v>
      </c>
      <c r="F92" s="6">
        <v>87</v>
      </c>
      <c r="G92" s="7">
        <f>F92-E92</f>
        <v>42</v>
      </c>
      <c r="H92" s="7">
        <f>IF(F92&gt;50, G92*20%, G92*10%)</f>
        <v>8.4</v>
      </c>
      <c r="I92" s="5" t="s">
        <v>34</v>
      </c>
      <c r="J92" s="5" t="s">
        <v>35</v>
      </c>
      <c r="K92" s="5" t="s">
        <v>92</v>
      </c>
    </row>
    <row r="93" spans="1:11">
      <c r="A93" s="5" t="s">
        <v>80</v>
      </c>
      <c r="B93" s="5" t="s">
        <v>134</v>
      </c>
      <c r="C93" s="5">
        <v>9212</v>
      </c>
      <c r="D93" s="5" t="s">
        <v>29</v>
      </c>
      <c r="E93" s="6">
        <v>4</v>
      </c>
      <c r="F93" s="6">
        <v>7</v>
      </c>
      <c r="G93" s="7">
        <f>F93-E93</f>
        <v>3</v>
      </c>
      <c r="H93" s="7">
        <f>IF(F93&gt;50, G93*20%, G93*10%)</f>
        <v>0.30000000000000004</v>
      </c>
      <c r="I93" s="5" t="s">
        <v>19</v>
      </c>
      <c r="J93" s="5" t="s">
        <v>20</v>
      </c>
      <c r="K93" s="5" t="s">
        <v>92</v>
      </c>
    </row>
    <row r="94" spans="1:11">
      <c r="A94" s="5" t="s">
        <v>84</v>
      </c>
      <c r="B94" s="5" t="s">
        <v>135</v>
      </c>
      <c r="C94" s="5">
        <v>2242</v>
      </c>
      <c r="D94" s="5" t="s">
        <v>26</v>
      </c>
      <c r="E94" s="6">
        <v>60</v>
      </c>
      <c r="F94" s="6">
        <v>124</v>
      </c>
      <c r="G94" s="7">
        <f>F94-E94</f>
        <v>64</v>
      </c>
      <c r="H94" s="7">
        <f>IF(F94&gt;50, G94*20%, G94*10%)</f>
        <v>12.8</v>
      </c>
      <c r="I94" s="5" t="s">
        <v>34</v>
      </c>
      <c r="J94" s="5" t="s">
        <v>35</v>
      </c>
      <c r="K94" s="5" t="s">
        <v>92</v>
      </c>
    </row>
    <row r="95" spans="1:11">
      <c r="A95" s="5" t="s">
        <v>84</v>
      </c>
      <c r="B95" s="5" t="s">
        <v>136</v>
      </c>
      <c r="C95" s="5">
        <v>2242</v>
      </c>
      <c r="D95" s="5" t="s">
        <v>26</v>
      </c>
      <c r="E95" s="6">
        <v>60</v>
      </c>
      <c r="F95" s="6">
        <v>124</v>
      </c>
      <c r="G95" s="7">
        <f>F95-E95</f>
        <v>64</v>
      </c>
      <c r="H95" s="7">
        <f>IF(F95&gt;50, G95*20%, G95*10%)</f>
        <v>12.8</v>
      </c>
      <c r="I95" s="5" t="s">
        <v>19</v>
      </c>
      <c r="J95" s="5" t="s">
        <v>20</v>
      </c>
      <c r="K95" s="5" t="s">
        <v>92</v>
      </c>
    </row>
    <row r="96" spans="1:11">
      <c r="A96" s="5" t="s">
        <v>87</v>
      </c>
      <c r="B96" s="5" t="s">
        <v>137</v>
      </c>
      <c r="C96" s="5">
        <v>2242</v>
      </c>
      <c r="D96" s="5" t="s">
        <v>26</v>
      </c>
      <c r="E96" s="6">
        <v>60</v>
      </c>
      <c r="F96" s="6">
        <v>124</v>
      </c>
      <c r="G96" s="7">
        <f>F96-E96</f>
        <v>64</v>
      </c>
      <c r="H96" s="7">
        <f>IF(F96&gt;50, G96*20%, G96*10%)</f>
        <v>12.8</v>
      </c>
      <c r="I96" s="5" t="s">
        <v>23</v>
      </c>
      <c r="J96" s="5" t="s">
        <v>24</v>
      </c>
      <c r="K96" s="5" t="s">
        <v>92</v>
      </c>
    </row>
    <row r="97" spans="1:11">
      <c r="A97" s="5" t="s">
        <v>87</v>
      </c>
      <c r="B97" s="5" t="s">
        <v>138</v>
      </c>
      <c r="C97" s="5">
        <v>9822</v>
      </c>
      <c r="D97" s="5" t="s">
        <v>31</v>
      </c>
      <c r="E97" s="6">
        <v>58.3</v>
      </c>
      <c r="F97" s="6">
        <v>98.4</v>
      </c>
      <c r="G97" s="7">
        <f>F97-E97</f>
        <v>40.100000000000009</v>
      </c>
      <c r="H97" s="7">
        <f>IF(F97&gt;50, G97*20%, G97*10%)</f>
        <v>8.0200000000000014</v>
      </c>
      <c r="I97" s="5" t="s">
        <v>14</v>
      </c>
      <c r="J97" s="5" t="s">
        <v>15</v>
      </c>
      <c r="K97" s="5" t="s">
        <v>92</v>
      </c>
    </row>
    <row r="98" spans="1:11">
      <c r="A98" s="5" t="s">
        <v>11</v>
      </c>
      <c r="B98" s="5" t="s">
        <v>139</v>
      </c>
      <c r="C98" s="5">
        <v>2499</v>
      </c>
      <c r="D98" s="5" t="s">
        <v>40</v>
      </c>
      <c r="E98" s="6">
        <v>6.2</v>
      </c>
      <c r="F98" s="6">
        <v>9.1999999999999993</v>
      </c>
      <c r="G98" s="7">
        <f>F98-E98</f>
        <v>2.9999999999999991</v>
      </c>
      <c r="H98" s="7">
        <f>IF(F98&gt;50, G98*20%, G98*10%)</f>
        <v>0.29999999999999993</v>
      </c>
      <c r="I98" s="5" t="s">
        <v>14</v>
      </c>
      <c r="J98" s="5" t="s">
        <v>15</v>
      </c>
      <c r="K98" s="5" t="s">
        <v>140</v>
      </c>
    </row>
    <row r="99" spans="1:11">
      <c r="A99" s="5" t="s">
        <v>36</v>
      </c>
      <c r="B99" s="5" t="s">
        <v>141</v>
      </c>
      <c r="C99" s="5">
        <v>2499</v>
      </c>
      <c r="D99" s="5" t="s">
        <v>40</v>
      </c>
      <c r="E99" s="6">
        <v>6.2</v>
      </c>
      <c r="F99" s="6">
        <v>9.1999999999999993</v>
      </c>
      <c r="G99" s="7">
        <f>F99-E99</f>
        <v>2.9999999999999991</v>
      </c>
      <c r="H99" s="7">
        <f>IF(F99&gt;50, G99*20%, G99*10%)</f>
        <v>0.29999999999999993</v>
      </c>
      <c r="I99" s="5" t="s">
        <v>19</v>
      </c>
      <c r="J99" s="5" t="s">
        <v>20</v>
      </c>
      <c r="K99" s="5" t="s">
        <v>140</v>
      </c>
    </row>
    <row r="100" spans="1:11">
      <c r="A100" s="5" t="s">
        <v>36</v>
      </c>
      <c r="B100" s="5" t="s">
        <v>142</v>
      </c>
      <c r="C100" s="5">
        <v>1109</v>
      </c>
      <c r="D100" s="5" t="s">
        <v>46</v>
      </c>
      <c r="E100" s="6">
        <v>3</v>
      </c>
      <c r="F100" s="6">
        <v>8</v>
      </c>
      <c r="G100" s="7">
        <f>F100-E100</f>
        <v>5</v>
      </c>
      <c r="H100" s="7">
        <f>IF(F100&gt;50, G100*20%, G100*10%)</f>
        <v>0.5</v>
      </c>
      <c r="I100" s="5" t="s">
        <v>34</v>
      </c>
      <c r="J100" s="5" t="s">
        <v>35</v>
      </c>
      <c r="K100" s="5" t="s">
        <v>140</v>
      </c>
    </row>
    <row r="101" spans="1:11">
      <c r="A101" s="5" t="s">
        <v>36</v>
      </c>
      <c r="B101" s="5" t="s">
        <v>143</v>
      </c>
      <c r="C101" s="5">
        <v>2877</v>
      </c>
      <c r="D101" s="5" t="s">
        <v>13</v>
      </c>
      <c r="E101" s="6">
        <v>11.4</v>
      </c>
      <c r="F101" s="6">
        <v>16.3</v>
      </c>
      <c r="G101" s="7">
        <f>F101-E101</f>
        <v>4.9000000000000004</v>
      </c>
      <c r="H101" s="7">
        <f>IF(F101&gt;50, G101*20%, G101*10%)</f>
        <v>0.49000000000000005</v>
      </c>
      <c r="I101" s="5" t="s">
        <v>34</v>
      </c>
      <c r="J101" s="5" t="s">
        <v>35</v>
      </c>
      <c r="K101" s="5" t="s">
        <v>140</v>
      </c>
    </row>
    <row r="102" spans="1:11">
      <c r="A102" s="5" t="s">
        <v>42</v>
      </c>
      <c r="B102" s="5" t="s">
        <v>144</v>
      </c>
      <c r="C102" s="5">
        <v>2877</v>
      </c>
      <c r="D102" s="5" t="s">
        <v>13</v>
      </c>
      <c r="E102" s="6">
        <v>11.4</v>
      </c>
      <c r="F102" s="6">
        <v>16.3</v>
      </c>
      <c r="G102" s="7">
        <f>F102-E102</f>
        <v>4.9000000000000004</v>
      </c>
      <c r="H102" s="7">
        <f>IF(F102&gt;50, G102*20%, G102*10%)</f>
        <v>0.49000000000000005</v>
      </c>
      <c r="I102" s="5" t="s">
        <v>34</v>
      </c>
      <c r="J102" s="5" t="s">
        <v>35</v>
      </c>
      <c r="K102" s="5" t="s">
        <v>140</v>
      </c>
    </row>
    <row r="103" spans="1:11">
      <c r="A103" s="5" t="s">
        <v>42</v>
      </c>
      <c r="B103" s="5" t="s">
        <v>145</v>
      </c>
      <c r="C103" s="5">
        <v>9212</v>
      </c>
      <c r="D103" s="5" t="s">
        <v>29</v>
      </c>
      <c r="E103" s="6">
        <v>4</v>
      </c>
      <c r="F103" s="6">
        <v>7</v>
      </c>
      <c r="G103" s="7">
        <f>F103-E103</f>
        <v>3</v>
      </c>
      <c r="H103" s="7">
        <f>IF(F103&gt;50, G103*20%, G103*10%)</f>
        <v>0.30000000000000004</v>
      </c>
      <c r="I103" s="5" t="s">
        <v>23</v>
      </c>
      <c r="J103" s="5" t="s">
        <v>24</v>
      </c>
      <c r="K103" s="5" t="s">
        <v>140</v>
      </c>
    </row>
    <row r="104" spans="1:11">
      <c r="A104" s="5" t="s">
        <v>27</v>
      </c>
      <c r="B104" s="5" t="s">
        <v>146</v>
      </c>
      <c r="C104" s="5">
        <v>9212</v>
      </c>
      <c r="D104" s="5" t="s">
        <v>29</v>
      </c>
      <c r="E104" s="6">
        <v>4</v>
      </c>
      <c r="F104" s="6">
        <v>7</v>
      </c>
      <c r="G104" s="7">
        <f>F104-E104</f>
        <v>3</v>
      </c>
      <c r="H104" s="7">
        <f>IF(F104&gt;50, G104*20%, G104*10%)</f>
        <v>0.30000000000000004</v>
      </c>
      <c r="I104" s="5" t="s">
        <v>19</v>
      </c>
      <c r="J104" s="5" t="s">
        <v>20</v>
      </c>
      <c r="K104" s="5" t="s">
        <v>147</v>
      </c>
    </row>
    <row r="105" spans="1:11">
      <c r="A105" s="5" t="s">
        <v>27</v>
      </c>
      <c r="B105" s="5" t="s">
        <v>148</v>
      </c>
      <c r="C105" s="5">
        <v>2242</v>
      </c>
      <c r="D105" s="5" t="s">
        <v>26</v>
      </c>
      <c r="E105" s="6">
        <v>60</v>
      </c>
      <c r="F105" s="6">
        <v>124</v>
      </c>
      <c r="G105" s="7">
        <f>F105-E105</f>
        <v>64</v>
      </c>
      <c r="H105" s="7">
        <f>IF(F105&gt;50, G105*20%, G105*10%)</f>
        <v>12.8</v>
      </c>
      <c r="I105" s="5" t="s">
        <v>19</v>
      </c>
      <c r="J105" s="5" t="s">
        <v>20</v>
      </c>
      <c r="K105" s="5" t="s">
        <v>147</v>
      </c>
    </row>
    <row r="106" spans="1:11">
      <c r="A106" s="5" t="s">
        <v>101</v>
      </c>
      <c r="B106" s="5" t="s">
        <v>149</v>
      </c>
      <c r="C106" s="5">
        <v>2242</v>
      </c>
      <c r="D106" s="5" t="s">
        <v>26</v>
      </c>
      <c r="E106" s="6">
        <v>60</v>
      </c>
      <c r="F106" s="6">
        <v>124</v>
      </c>
      <c r="G106" s="7">
        <f>F106-E106</f>
        <v>64</v>
      </c>
      <c r="H106" s="7">
        <f>IF(F106&gt;50, G106*20%, G106*10%)</f>
        <v>12.8</v>
      </c>
      <c r="I106" s="5" t="s">
        <v>19</v>
      </c>
      <c r="J106" s="5" t="s">
        <v>20</v>
      </c>
      <c r="K106" s="5" t="s">
        <v>147</v>
      </c>
    </row>
    <row r="107" spans="1:11">
      <c r="A107" s="5" t="s">
        <v>36</v>
      </c>
      <c r="B107" s="5" t="s">
        <v>150</v>
      </c>
      <c r="C107" s="5">
        <v>2242</v>
      </c>
      <c r="D107" s="5" t="s">
        <v>26</v>
      </c>
      <c r="E107" s="6">
        <v>60</v>
      </c>
      <c r="F107" s="6">
        <v>124</v>
      </c>
      <c r="G107" s="7">
        <f>F107-E107</f>
        <v>64</v>
      </c>
      <c r="H107" s="7">
        <f>IF(F107&gt;50, G107*20%, G107*10%)</f>
        <v>12.8</v>
      </c>
      <c r="I107" s="5" t="s">
        <v>34</v>
      </c>
      <c r="J107" s="5" t="s">
        <v>35</v>
      </c>
      <c r="K107" s="5" t="s">
        <v>147</v>
      </c>
    </row>
    <row r="108" spans="1:11">
      <c r="A108" s="5" t="s">
        <v>36</v>
      </c>
      <c r="B108" s="5" t="s">
        <v>151</v>
      </c>
      <c r="C108" s="5">
        <v>1109</v>
      </c>
      <c r="D108" s="5" t="s">
        <v>46</v>
      </c>
      <c r="E108" s="6">
        <v>3</v>
      </c>
      <c r="F108" s="6">
        <v>8</v>
      </c>
      <c r="G108" s="7">
        <f>F108-E108</f>
        <v>5</v>
      </c>
      <c r="H108" s="7">
        <f>IF(F108&gt;50, G108*20%, G108*10%)</f>
        <v>0.5</v>
      </c>
      <c r="I108" s="5" t="s">
        <v>23</v>
      </c>
      <c r="J108" s="5" t="s">
        <v>24</v>
      </c>
      <c r="K108" s="5" t="s">
        <v>147</v>
      </c>
    </row>
    <row r="109" spans="1:11">
      <c r="A109" s="5" t="s">
        <v>36</v>
      </c>
      <c r="B109" s="5" t="s">
        <v>152</v>
      </c>
      <c r="C109" s="5">
        <v>6119</v>
      </c>
      <c r="D109" s="5" t="s">
        <v>22</v>
      </c>
      <c r="E109" s="6">
        <v>9</v>
      </c>
      <c r="F109" s="6">
        <v>14</v>
      </c>
      <c r="G109" s="7">
        <f>F109-E109</f>
        <v>5</v>
      </c>
      <c r="H109" s="7">
        <f>IF(F109&gt;50, G109*20%, G109*10%)</f>
        <v>0.5</v>
      </c>
      <c r="I109" s="5" t="s">
        <v>23</v>
      </c>
      <c r="J109" s="5" t="s">
        <v>24</v>
      </c>
      <c r="K109" s="5" t="s">
        <v>147</v>
      </c>
    </row>
    <row r="110" spans="1:11">
      <c r="A110" s="5" t="s">
        <v>42</v>
      </c>
      <c r="B110" s="5" t="s">
        <v>153</v>
      </c>
      <c r="C110" s="5">
        <v>9822</v>
      </c>
      <c r="D110" s="5" t="s">
        <v>31</v>
      </c>
      <c r="E110" s="6">
        <v>58.3</v>
      </c>
      <c r="F110" s="6">
        <v>98.4</v>
      </c>
      <c r="G110" s="7">
        <f>F110-E110</f>
        <v>40.100000000000009</v>
      </c>
      <c r="H110" s="7">
        <f>IF(F110&gt;50, G110*20%, G110*10%)</f>
        <v>8.0200000000000014</v>
      </c>
      <c r="I110" s="5" t="s">
        <v>14</v>
      </c>
      <c r="J110" s="5" t="s">
        <v>15</v>
      </c>
      <c r="K110" s="5" t="s">
        <v>147</v>
      </c>
    </row>
    <row r="111" spans="1:11">
      <c r="A111" s="5" t="s">
        <v>42</v>
      </c>
      <c r="B111" s="5" t="s">
        <v>154</v>
      </c>
      <c r="C111" s="5">
        <v>1109</v>
      </c>
      <c r="D111" s="5" t="s">
        <v>46</v>
      </c>
      <c r="E111" s="6">
        <v>3</v>
      </c>
      <c r="F111" s="6">
        <v>8</v>
      </c>
      <c r="G111" s="7">
        <f>F111-E111</f>
        <v>5</v>
      </c>
      <c r="H111" s="7">
        <f>IF(F111&gt;50, G111*20%, G111*10%)</f>
        <v>0.5</v>
      </c>
      <c r="I111" s="5" t="s">
        <v>23</v>
      </c>
      <c r="J111" s="5" t="s">
        <v>24</v>
      </c>
      <c r="K111" s="5" t="s">
        <v>147</v>
      </c>
    </row>
    <row r="112" spans="1:11">
      <c r="A112" s="5" t="s">
        <v>42</v>
      </c>
      <c r="B112" s="5" t="s">
        <v>155</v>
      </c>
      <c r="C112" s="5">
        <v>2877</v>
      </c>
      <c r="D112" s="5" t="s">
        <v>13</v>
      </c>
      <c r="E112" s="6">
        <v>11.4</v>
      </c>
      <c r="F112" s="6">
        <v>16.3</v>
      </c>
      <c r="G112" s="7">
        <f>F112-E112</f>
        <v>4.9000000000000004</v>
      </c>
      <c r="H112" s="7">
        <f>IF(F112&gt;50, G112*20%, G112*10%)</f>
        <v>0.49000000000000005</v>
      </c>
      <c r="I112" s="5" t="s">
        <v>19</v>
      </c>
      <c r="J112" s="5" t="s">
        <v>20</v>
      </c>
      <c r="K112" s="5" t="s">
        <v>147</v>
      </c>
    </row>
    <row r="113" spans="1:11">
      <c r="A113" s="5" t="s">
        <v>42</v>
      </c>
      <c r="B113" s="5" t="s">
        <v>156</v>
      </c>
      <c r="C113" s="5">
        <v>4421</v>
      </c>
      <c r="D113" s="5" t="s">
        <v>59</v>
      </c>
      <c r="E113" s="6">
        <v>45</v>
      </c>
      <c r="F113" s="6">
        <v>87</v>
      </c>
      <c r="G113" s="7">
        <f>F113-E113</f>
        <v>42</v>
      </c>
      <c r="H113" s="7">
        <f>IF(F113&gt;50, G113*20%, G113*10%)</f>
        <v>8.4</v>
      </c>
      <c r="I113" s="5" t="s">
        <v>19</v>
      </c>
      <c r="J113" s="5" t="s">
        <v>20</v>
      </c>
      <c r="K113" s="5" t="s">
        <v>147</v>
      </c>
    </row>
    <row r="114" spans="1:11">
      <c r="A114" s="5" t="s">
        <v>51</v>
      </c>
      <c r="B114" s="5" t="s">
        <v>157</v>
      </c>
      <c r="C114" s="5">
        <v>1109</v>
      </c>
      <c r="D114" s="5" t="s">
        <v>46</v>
      </c>
      <c r="E114" s="6">
        <v>3</v>
      </c>
      <c r="F114" s="6">
        <v>8</v>
      </c>
      <c r="G114" s="7">
        <f>F114-E114</f>
        <v>5</v>
      </c>
      <c r="H114" s="7">
        <f>IF(F114&gt;50, G114*20%, G114*10%)</f>
        <v>0.5</v>
      </c>
      <c r="I114" s="5" t="s">
        <v>23</v>
      </c>
      <c r="J114" s="5" t="s">
        <v>24</v>
      </c>
      <c r="K114" s="5" t="s">
        <v>147</v>
      </c>
    </row>
    <row r="115" spans="1:11">
      <c r="A115" s="5" t="s">
        <v>51</v>
      </c>
      <c r="B115" s="5" t="s">
        <v>158</v>
      </c>
      <c r="C115" s="5">
        <v>8722</v>
      </c>
      <c r="D115" s="5" t="s">
        <v>38</v>
      </c>
      <c r="E115" s="6">
        <v>344</v>
      </c>
      <c r="F115" s="6">
        <v>502</v>
      </c>
      <c r="G115" s="7">
        <f>F115-E115</f>
        <v>158</v>
      </c>
      <c r="H115" s="7">
        <f>IF(F115&gt;50, G115*20%, G115*10%)</f>
        <v>31.6</v>
      </c>
      <c r="I115" s="5" t="s">
        <v>23</v>
      </c>
      <c r="J115" s="5" t="s">
        <v>24</v>
      </c>
      <c r="K115" s="5" t="s">
        <v>147</v>
      </c>
    </row>
    <row r="116" spans="1:11">
      <c r="A116" s="5" t="s">
        <v>60</v>
      </c>
      <c r="B116" s="5" t="s">
        <v>159</v>
      </c>
      <c r="C116" s="5">
        <v>2877</v>
      </c>
      <c r="D116" s="5" t="s">
        <v>13</v>
      </c>
      <c r="E116" s="6">
        <v>11.4</v>
      </c>
      <c r="F116" s="6">
        <v>16.3</v>
      </c>
      <c r="G116" s="7">
        <f>F116-E116</f>
        <v>4.9000000000000004</v>
      </c>
      <c r="H116" s="7">
        <f>IF(F116&gt;50, G116*20%, G116*10%)</f>
        <v>0.49000000000000005</v>
      </c>
      <c r="I116" s="5" t="s">
        <v>34</v>
      </c>
      <c r="J116" s="5" t="s">
        <v>35</v>
      </c>
      <c r="K116" s="5" t="s">
        <v>147</v>
      </c>
    </row>
    <row r="117" spans="1:11">
      <c r="A117" s="5" t="s">
        <v>60</v>
      </c>
      <c r="B117" s="5" t="s">
        <v>160</v>
      </c>
      <c r="C117" s="5">
        <v>2499</v>
      </c>
      <c r="D117" s="5" t="s">
        <v>40</v>
      </c>
      <c r="E117" s="6">
        <v>6.2</v>
      </c>
      <c r="F117" s="6">
        <v>9.1999999999999993</v>
      </c>
      <c r="G117" s="7">
        <f>F117-E117</f>
        <v>2.9999999999999991</v>
      </c>
      <c r="H117" s="7">
        <f>IF(F117&gt;50, G117*20%, G117*10%)</f>
        <v>0.29999999999999993</v>
      </c>
      <c r="I117" s="5" t="s">
        <v>14</v>
      </c>
      <c r="J117" s="5" t="s">
        <v>15</v>
      </c>
      <c r="K117" s="5" t="s">
        <v>147</v>
      </c>
    </row>
    <row r="118" spans="1:11">
      <c r="A118" s="5" t="s">
        <v>60</v>
      </c>
      <c r="B118" s="5" t="s">
        <v>161</v>
      </c>
      <c r="C118" s="5">
        <v>2877</v>
      </c>
      <c r="D118" s="5" t="s">
        <v>13</v>
      </c>
      <c r="E118" s="6">
        <v>11.4</v>
      </c>
      <c r="F118" s="6">
        <v>16.3</v>
      </c>
      <c r="G118" s="7">
        <f>F118-E118</f>
        <v>4.9000000000000004</v>
      </c>
      <c r="H118" s="7">
        <f>IF(F118&gt;50, G118*20%, G118*10%)</f>
        <v>0.49000000000000005</v>
      </c>
      <c r="I118" s="5" t="s">
        <v>34</v>
      </c>
      <c r="J118" s="5" t="s">
        <v>35</v>
      </c>
      <c r="K118" s="5" t="s">
        <v>147</v>
      </c>
    </row>
    <row r="119" spans="1:11">
      <c r="A119" s="5" t="s">
        <v>66</v>
      </c>
      <c r="B119" s="5" t="s">
        <v>162</v>
      </c>
      <c r="C119" s="5">
        <v>2499</v>
      </c>
      <c r="D119" s="5" t="s">
        <v>40</v>
      </c>
      <c r="E119" s="6">
        <v>6.2</v>
      </c>
      <c r="F119" s="6">
        <v>9.1999999999999993</v>
      </c>
      <c r="G119" s="7">
        <f>F119-E119</f>
        <v>2.9999999999999991</v>
      </c>
      <c r="H119" s="7">
        <f>IF(F119&gt;50, G119*20%, G119*10%)</f>
        <v>0.29999999999999993</v>
      </c>
      <c r="I119" s="5" t="s">
        <v>14</v>
      </c>
      <c r="J119" s="5" t="s">
        <v>15</v>
      </c>
      <c r="K119" s="5" t="s">
        <v>147</v>
      </c>
    </row>
    <row r="120" spans="1:11">
      <c r="A120" s="5" t="s">
        <v>66</v>
      </c>
      <c r="B120" s="5" t="s">
        <v>163</v>
      </c>
      <c r="C120" s="5">
        <v>8722</v>
      </c>
      <c r="D120" s="5" t="s">
        <v>38</v>
      </c>
      <c r="E120" s="6">
        <v>344</v>
      </c>
      <c r="F120" s="6">
        <v>502</v>
      </c>
      <c r="G120" s="7">
        <f>F120-E120</f>
        <v>158</v>
      </c>
      <c r="H120" s="7">
        <f>IF(F120&gt;50, G120*20%, G120*10%)</f>
        <v>31.6</v>
      </c>
      <c r="I120" s="5" t="s">
        <v>19</v>
      </c>
      <c r="J120" s="5" t="s">
        <v>20</v>
      </c>
      <c r="K120" s="5" t="s">
        <v>147</v>
      </c>
    </row>
    <row r="121" spans="1:11">
      <c r="A121" s="5" t="s">
        <v>71</v>
      </c>
      <c r="B121" s="5" t="s">
        <v>164</v>
      </c>
      <c r="C121" s="5">
        <v>2499</v>
      </c>
      <c r="D121" s="5" t="s">
        <v>40</v>
      </c>
      <c r="E121" s="6">
        <v>6.2</v>
      </c>
      <c r="F121" s="6">
        <v>9.1999999999999993</v>
      </c>
      <c r="G121" s="7">
        <f>F121-E121</f>
        <v>2.9999999999999991</v>
      </c>
      <c r="H121" s="7">
        <f>IF(F121&gt;50, G121*20%, G121*10%)</f>
        <v>0.29999999999999993</v>
      </c>
      <c r="I121" s="5" t="s">
        <v>19</v>
      </c>
      <c r="J121" s="5" t="s">
        <v>20</v>
      </c>
      <c r="K121" s="5" t="s">
        <v>147</v>
      </c>
    </row>
    <row r="122" spans="1:11">
      <c r="A122" s="5" t="s">
        <v>84</v>
      </c>
      <c r="B122" s="5" t="s">
        <v>165</v>
      </c>
      <c r="C122" s="5">
        <v>9212</v>
      </c>
      <c r="D122" s="5" t="s">
        <v>29</v>
      </c>
      <c r="E122" s="6">
        <v>4</v>
      </c>
      <c r="F122" s="6">
        <v>7</v>
      </c>
      <c r="G122" s="7">
        <f>F122-E122</f>
        <v>3</v>
      </c>
      <c r="H122" s="7">
        <f>IF(F122&gt;50, G122*20%, G122*10%)</f>
        <v>0.30000000000000004</v>
      </c>
      <c r="I122" s="5" t="s">
        <v>19</v>
      </c>
      <c r="J122" s="5" t="s">
        <v>20</v>
      </c>
      <c r="K122" s="5" t="s">
        <v>147</v>
      </c>
    </row>
    <row r="123" spans="1:11">
      <c r="A123" s="5" t="s">
        <v>87</v>
      </c>
      <c r="B123" s="5" t="s">
        <v>166</v>
      </c>
      <c r="C123" s="5">
        <v>4421</v>
      </c>
      <c r="D123" s="5" t="s">
        <v>59</v>
      </c>
      <c r="E123" s="6">
        <v>45</v>
      </c>
      <c r="F123" s="6">
        <v>87</v>
      </c>
      <c r="G123" s="7">
        <f>F123-E123</f>
        <v>42</v>
      </c>
      <c r="H123" s="7">
        <f>IF(F123&gt;50, G123*20%, G123*10%)</f>
        <v>8.4</v>
      </c>
      <c r="I123" s="5" t="s">
        <v>23</v>
      </c>
      <c r="J123" s="5" t="s">
        <v>24</v>
      </c>
      <c r="K123" s="5" t="s">
        <v>147</v>
      </c>
    </row>
    <row r="124" spans="1:11">
      <c r="A124" s="5" t="s">
        <v>11</v>
      </c>
      <c r="B124" s="5" t="s">
        <v>167</v>
      </c>
      <c r="C124" s="5">
        <v>4421</v>
      </c>
      <c r="D124" s="5" t="s">
        <v>59</v>
      </c>
      <c r="E124" s="6">
        <v>45</v>
      </c>
      <c r="F124" s="6">
        <v>87</v>
      </c>
      <c r="G124" s="7">
        <f>F124-E124</f>
        <v>42</v>
      </c>
      <c r="H124" s="7">
        <f>IF(F124&gt;50, G124*20%, G124*10%)</f>
        <v>8.4</v>
      </c>
      <c r="I124" s="5" t="s">
        <v>19</v>
      </c>
      <c r="J124" s="5" t="s">
        <v>20</v>
      </c>
      <c r="K124" s="5" t="s">
        <v>168</v>
      </c>
    </row>
    <row r="125" spans="1:11">
      <c r="A125" s="5" t="s">
        <v>11</v>
      </c>
      <c r="B125" s="5" t="s">
        <v>169</v>
      </c>
      <c r="C125" s="5">
        <v>6119</v>
      </c>
      <c r="D125" s="5" t="s">
        <v>22</v>
      </c>
      <c r="E125" s="6">
        <v>9</v>
      </c>
      <c r="F125" s="6">
        <v>14</v>
      </c>
      <c r="G125" s="7">
        <f>F125-E125</f>
        <v>5</v>
      </c>
      <c r="H125" s="7">
        <f>IF(F125&gt;50, G125*20%, G125*10%)</f>
        <v>0.5</v>
      </c>
      <c r="I125" s="5" t="s">
        <v>34</v>
      </c>
      <c r="J125" s="5" t="s">
        <v>35</v>
      </c>
      <c r="K125" s="5" t="s">
        <v>168</v>
      </c>
    </row>
    <row r="126" spans="1:11">
      <c r="A126" s="5" t="s">
        <v>11</v>
      </c>
      <c r="B126" s="5" t="s">
        <v>170</v>
      </c>
      <c r="C126" s="5">
        <v>6119</v>
      </c>
      <c r="D126" s="5" t="s">
        <v>22</v>
      </c>
      <c r="E126" s="6">
        <v>9</v>
      </c>
      <c r="F126" s="6">
        <v>14</v>
      </c>
      <c r="G126" s="7">
        <f>F126-E126</f>
        <v>5</v>
      </c>
      <c r="H126" s="7">
        <f>IF(F126&gt;50, G126*20%, G126*10%)</f>
        <v>0.5</v>
      </c>
      <c r="I126" s="5" t="s">
        <v>19</v>
      </c>
      <c r="J126" s="5" t="s">
        <v>20</v>
      </c>
      <c r="K126" s="5" t="s">
        <v>168</v>
      </c>
    </row>
    <row r="127" spans="1:11">
      <c r="A127" s="5" t="s">
        <v>27</v>
      </c>
      <c r="B127" s="5" t="s">
        <v>171</v>
      </c>
      <c r="C127" s="5">
        <v>8722</v>
      </c>
      <c r="D127" s="5" t="s">
        <v>38</v>
      </c>
      <c r="E127" s="6">
        <v>344</v>
      </c>
      <c r="F127" s="6">
        <v>502</v>
      </c>
      <c r="G127" s="7">
        <f>F127-E127</f>
        <v>158</v>
      </c>
      <c r="H127" s="7">
        <f>IF(F127&gt;50, G127*20%, G127*10%)</f>
        <v>31.6</v>
      </c>
      <c r="I127" s="5" t="s">
        <v>14</v>
      </c>
      <c r="J127" s="5" t="s">
        <v>15</v>
      </c>
      <c r="K127" s="5" t="s">
        <v>168</v>
      </c>
    </row>
    <row r="128" spans="1:11">
      <c r="A128" s="5" t="s">
        <v>27</v>
      </c>
      <c r="B128" s="5" t="s">
        <v>172</v>
      </c>
      <c r="C128" s="5">
        <v>9822</v>
      </c>
      <c r="D128" s="5" t="s">
        <v>31</v>
      </c>
      <c r="E128" s="6">
        <v>58.3</v>
      </c>
      <c r="F128" s="6">
        <v>98.4</v>
      </c>
      <c r="G128" s="7">
        <f>F128-E128</f>
        <v>40.100000000000009</v>
      </c>
      <c r="H128" s="7">
        <f>IF(F128&gt;50, G128*20%, G128*10%)</f>
        <v>8.0200000000000014</v>
      </c>
      <c r="I128" s="5" t="s">
        <v>23</v>
      </c>
      <c r="J128" s="5" t="s">
        <v>24</v>
      </c>
      <c r="K128" s="5" t="s">
        <v>168</v>
      </c>
    </row>
    <row r="129" spans="1:11">
      <c r="A129" s="5" t="s">
        <v>27</v>
      </c>
      <c r="B129" s="5" t="s">
        <v>173</v>
      </c>
      <c r="C129" s="5">
        <v>8722</v>
      </c>
      <c r="D129" s="5" t="s">
        <v>38</v>
      </c>
      <c r="E129" s="6">
        <v>344</v>
      </c>
      <c r="F129" s="6">
        <v>502</v>
      </c>
      <c r="G129" s="7">
        <f>F129-E129</f>
        <v>158</v>
      </c>
      <c r="H129" s="7">
        <f>IF(F129&gt;50, G129*20%, G129*10%)</f>
        <v>31.6</v>
      </c>
      <c r="I129" s="5" t="s">
        <v>14</v>
      </c>
      <c r="J129" s="5" t="s">
        <v>15</v>
      </c>
      <c r="K129" s="5" t="s">
        <v>168</v>
      </c>
    </row>
    <row r="130" spans="1:11">
      <c r="A130" s="5" t="s">
        <v>27</v>
      </c>
      <c r="B130" s="5" t="s">
        <v>174</v>
      </c>
      <c r="C130" s="5">
        <v>4421</v>
      </c>
      <c r="D130" s="5" t="s">
        <v>59</v>
      </c>
      <c r="E130" s="6">
        <v>45</v>
      </c>
      <c r="F130" s="6">
        <v>87</v>
      </c>
      <c r="G130" s="7">
        <f>F130-E130</f>
        <v>42</v>
      </c>
      <c r="H130" s="7">
        <f>IF(F130&gt;50, G130*20%, G130*10%)</f>
        <v>8.4</v>
      </c>
      <c r="I130" s="5" t="s">
        <v>34</v>
      </c>
      <c r="J130" s="5" t="s">
        <v>35</v>
      </c>
      <c r="K130" s="5" t="s">
        <v>168</v>
      </c>
    </row>
    <row r="131" spans="1:11">
      <c r="A131" s="5" t="s">
        <v>101</v>
      </c>
      <c r="B131" s="5" t="s">
        <v>175</v>
      </c>
      <c r="C131" s="5">
        <v>4421</v>
      </c>
      <c r="D131" s="5" t="s">
        <v>59</v>
      </c>
      <c r="E131" s="6">
        <v>45</v>
      </c>
      <c r="F131" s="6">
        <v>87</v>
      </c>
      <c r="G131" s="7">
        <f>F131-E131</f>
        <v>42</v>
      </c>
      <c r="H131" s="7">
        <f>IF(F131&gt;50, G131*20%, G131*10%)</f>
        <v>8.4</v>
      </c>
      <c r="I131" s="5" t="s">
        <v>34</v>
      </c>
      <c r="J131" s="5" t="s">
        <v>35</v>
      </c>
      <c r="K131" s="5" t="s">
        <v>168</v>
      </c>
    </row>
    <row r="132" spans="1:11">
      <c r="A132" s="5" t="s">
        <v>36</v>
      </c>
      <c r="B132" s="5" t="s">
        <v>176</v>
      </c>
      <c r="C132" s="5">
        <v>2499</v>
      </c>
      <c r="D132" s="5" t="s">
        <v>40</v>
      </c>
      <c r="E132" s="6">
        <v>6.2</v>
      </c>
      <c r="F132" s="6">
        <v>9.1999999999999993</v>
      </c>
      <c r="G132" s="7">
        <f>F132-E132</f>
        <v>2.9999999999999991</v>
      </c>
      <c r="H132" s="7">
        <f>IF(F132&gt;50, G132*20%, G132*10%)</f>
        <v>0.29999999999999993</v>
      </c>
      <c r="I132" s="5" t="s">
        <v>19</v>
      </c>
      <c r="J132" s="5" t="s">
        <v>20</v>
      </c>
      <c r="K132" s="5" t="s">
        <v>168</v>
      </c>
    </row>
    <row r="133" spans="1:11">
      <c r="A133" s="5" t="s">
        <v>36</v>
      </c>
      <c r="B133" s="5" t="s">
        <v>177</v>
      </c>
      <c r="C133" s="5">
        <v>2877</v>
      </c>
      <c r="D133" s="5" t="s">
        <v>13</v>
      </c>
      <c r="E133" s="6">
        <v>11.4</v>
      </c>
      <c r="F133" s="6">
        <v>16.3</v>
      </c>
      <c r="G133" s="7">
        <f>F133-E133</f>
        <v>4.9000000000000004</v>
      </c>
      <c r="H133" s="7">
        <f>IF(F133&gt;50, G133*20%, G133*10%)</f>
        <v>0.49000000000000005</v>
      </c>
      <c r="I133" s="5" t="s">
        <v>23</v>
      </c>
      <c r="J133" s="5" t="s">
        <v>24</v>
      </c>
      <c r="K133" s="5" t="s">
        <v>168</v>
      </c>
    </row>
    <row r="134" spans="1:11">
      <c r="A134" s="5" t="s">
        <v>36</v>
      </c>
      <c r="B134" s="5" t="s">
        <v>178</v>
      </c>
      <c r="C134" s="5">
        <v>6119</v>
      </c>
      <c r="D134" s="5" t="s">
        <v>22</v>
      </c>
      <c r="E134" s="6">
        <v>9</v>
      </c>
      <c r="F134" s="6">
        <v>14</v>
      </c>
      <c r="G134" s="7">
        <f>F134-E134</f>
        <v>5</v>
      </c>
      <c r="H134" s="7">
        <f>IF(F134&gt;50, G134*20%, G134*10%)</f>
        <v>0.5</v>
      </c>
      <c r="I134" s="5" t="s">
        <v>14</v>
      </c>
      <c r="J134" s="5" t="s">
        <v>15</v>
      </c>
      <c r="K134" s="5" t="s">
        <v>168</v>
      </c>
    </row>
    <row r="135" spans="1:11">
      <c r="A135" s="5" t="s">
        <v>36</v>
      </c>
      <c r="B135" s="5" t="s">
        <v>179</v>
      </c>
      <c r="C135" s="5">
        <v>4421</v>
      </c>
      <c r="D135" s="5" t="s">
        <v>59</v>
      </c>
      <c r="E135" s="6">
        <v>45</v>
      </c>
      <c r="F135" s="6">
        <v>87</v>
      </c>
      <c r="G135" s="7">
        <f>F135-E135</f>
        <v>42</v>
      </c>
      <c r="H135" s="7">
        <f>IF(F135&gt;50, G135*20%, G135*10%)</f>
        <v>8.4</v>
      </c>
      <c r="I135" s="5" t="s">
        <v>34</v>
      </c>
      <c r="J135" s="5" t="s">
        <v>35</v>
      </c>
      <c r="K135" s="5" t="s">
        <v>168</v>
      </c>
    </row>
    <row r="136" spans="1:11">
      <c r="A136" s="5" t="s">
        <v>51</v>
      </c>
      <c r="B136" s="5" t="s">
        <v>180</v>
      </c>
      <c r="C136" s="5">
        <v>2242</v>
      </c>
      <c r="D136" s="5" t="s">
        <v>26</v>
      </c>
      <c r="E136" s="6">
        <v>60</v>
      </c>
      <c r="F136" s="6">
        <v>124</v>
      </c>
      <c r="G136" s="7">
        <f>F136-E136</f>
        <v>64</v>
      </c>
      <c r="H136" s="7">
        <f>IF(F136&gt;50, G136*20%, G136*10%)</f>
        <v>12.8</v>
      </c>
      <c r="I136" s="5" t="s">
        <v>34</v>
      </c>
      <c r="J136" s="5" t="s">
        <v>35</v>
      </c>
      <c r="K136" s="5" t="s">
        <v>168</v>
      </c>
    </row>
    <row r="137" spans="1:11">
      <c r="A137" s="5" t="s">
        <v>51</v>
      </c>
      <c r="B137" s="5" t="s">
        <v>181</v>
      </c>
      <c r="C137" s="5">
        <v>2877</v>
      </c>
      <c r="D137" s="5" t="s">
        <v>13</v>
      </c>
      <c r="E137" s="6">
        <v>11.4</v>
      </c>
      <c r="F137" s="6">
        <v>16.3</v>
      </c>
      <c r="G137" s="7">
        <f>F137-E137</f>
        <v>4.9000000000000004</v>
      </c>
      <c r="H137" s="7">
        <f>IF(F137&gt;50, G137*20%, G137*10%)</f>
        <v>0.49000000000000005</v>
      </c>
      <c r="I137" s="5" t="s">
        <v>19</v>
      </c>
      <c r="J137" s="5" t="s">
        <v>20</v>
      </c>
      <c r="K137" s="5" t="s">
        <v>168</v>
      </c>
    </row>
    <row r="138" spans="1:11">
      <c r="A138" s="5" t="s">
        <v>51</v>
      </c>
      <c r="B138" s="5" t="s">
        <v>182</v>
      </c>
      <c r="C138" s="5">
        <v>9822</v>
      </c>
      <c r="D138" s="5" t="s">
        <v>31</v>
      </c>
      <c r="E138" s="6">
        <v>58.3</v>
      </c>
      <c r="F138" s="6">
        <v>98.4</v>
      </c>
      <c r="G138" s="7">
        <f>F138-E138</f>
        <v>40.100000000000009</v>
      </c>
      <c r="H138" s="7">
        <f>IF(F138&gt;50, G138*20%, G138*10%)</f>
        <v>8.0200000000000014</v>
      </c>
      <c r="I138" s="5" t="s">
        <v>19</v>
      </c>
      <c r="J138" s="5" t="s">
        <v>20</v>
      </c>
      <c r="K138" s="5" t="s">
        <v>168</v>
      </c>
    </row>
    <row r="139" spans="1:11">
      <c r="A139" s="5" t="s">
        <v>51</v>
      </c>
      <c r="B139" s="5" t="s">
        <v>183</v>
      </c>
      <c r="C139" s="5">
        <v>8722</v>
      </c>
      <c r="D139" s="5" t="s">
        <v>38</v>
      </c>
      <c r="E139" s="6">
        <v>344</v>
      </c>
      <c r="F139" s="6">
        <v>502</v>
      </c>
      <c r="G139" s="7">
        <f>F139-E139</f>
        <v>158</v>
      </c>
      <c r="H139" s="7">
        <f>IF(F139&gt;50, G139*20%, G139*10%)</f>
        <v>31.6</v>
      </c>
      <c r="I139" s="5" t="s">
        <v>23</v>
      </c>
      <c r="J139" s="5" t="s">
        <v>24</v>
      </c>
      <c r="K139" s="5" t="s">
        <v>168</v>
      </c>
    </row>
    <row r="140" spans="1:11">
      <c r="A140" s="5" t="s">
        <v>51</v>
      </c>
      <c r="B140" s="5" t="s">
        <v>184</v>
      </c>
      <c r="C140" s="5">
        <v>6622</v>
      </c>
      <c r="D140" s="5" t="s">
        <v>18</v>
      </c>
      <c r="E140" s="6">
        <v>42</v>
      </c>
      <c r="F140" s="6">
        <v>77</v>
      </c>
      <c r="G140" s="7">
        <f>F140-E140</f>
        <v>35</v>
      </c>
      <c r="H140" s="7">
        <f>IF(F140&gt;50, G140*20%, G140*10%)</f>
        <v>7</v>
      </c>
      <c r="I140" s="5" t="s">
        <v>19</v>
      </c>
      <c r="J140" s="5" t="s">
        <v>20</v>
      </c>
      <c r="K140" s="5" t="s">
        <v>168</v>
      </c>
    </row>
    <row r="141" spans="1:11">
      <c r="A141" s="5" t="s">
        <v>51</v>
      </c>
      <c r="B141" s="5" t="s">
        <v>185</v>
      </c>
      <c r="C141" s="5">
        <v>4421</v>
      </c>
      <c r="D141" s="5" t="s">
        <v>59</v>
      </c>
      <c r="E141" s="6">
        <v>45</v>
      </c>
      <c r="F141" s="6">
        <v>87</v>
      </c>
      <c r="G141" s="7">
        <f>F141-E141</f>
        <v>42</v>
      </c>
      <c r="H141" s="7">
        <f>IF(F141&gt;50, G141*20%, G141*10%)</f>
        <v>8.4</v>
      </c>
      <c r="I141" s="5" t="s">
        <v>19</v>
      </c>
      <c r="J141" s="5" t="s">
        <v>20</v>
      </c>
      <c r="K141" s="5" t="s">
        <v>168</v>
      </c>
    </row>
    <row r="142" spans="1:11">
      <c r="A142" s="5" t="s">
        <v>51</v>
      </c>
      <c r="B142" s="5" t="s">
        <v>186</v>
      </c>
      <c r="C142" s="5">
        <v>9822</v>
      </c>
      <c r="D142" s="5" t="s">
        <v>31</v>
      </c>
      <c r="E142" s="6">
        <v>58.3</v>
      </c>
      <c r="F142" s="6">
        <v>98.4</v>
      </c>
      <c r="G142" s="7">
        <f>F142-E142</f>
        <v>40.100000000000009</v>
      </c>
      <c r="H142" s="7">
        <f>IF(F142&gt;50, G142*20%, G142*10%)</f>
        <v>8.0200000000000014</v>
      </c>
      <c r="I142" s="5" t="s">
        <v>19</v>
      </c>
      <c r="J142" s="5" t="s">
        <v>20</v>
      </c>
      <c r="K142" s="5" t="s">
        <v>168</v>
      </c>
    </row>
    <row r="143" spans="1:11">
      <c r="A143" s="5" t="s">
        <v>60</v>
      </c>
      <c r="B143" s="5" t="s">
        <v>187</v>
      </c>
      <c r="C143" s="5">
        <v>1109</v>
      </c>
      <c r="D143" s="5" t="s">
        <v>46</v>
      </c>
      <c r="E143" s="6">
        <v>3</v>
      </c>
      <c r="F143" s="6">
        <v>8</v>
      </c>
      <c r="G143" s="7">
        <f>F143-E143</f>
        <v>5</v>
      </c>
      <c r="H143" s="7">
        <f>IF(F143&gt;50, G143*20%, G143*10%)</f>
        <v>0.5</v>
      </c>
      <c r="I143" s="5" t="s">
        <v>14</v>
      </c>
      <c r="J143" s="5" t="s">
        <v>15</v>
      </c>
      <c r="K143" s="5" t="s">
        <v>168</v>
      </c>
    </row>
    <row r="144" spans="1:11">
      <c r="A144" s="5" t="s">
        <v>60</v>
      </c>
      <c r="B144" s="5" t="s">
        <v>188</v>
      </c>
      <c r="C144" s="5">
        <v>9822</v>
      </c>
      <c r="D144" s="5" t="s">
        <v>31</v>
      </c>
      <c r="E144" s="6">
        <v>58.3</v>
      </c>
      <c r="F144" s="6">
        <v>98.4</v>
      </c>
      <c r="G144" s="7">
        <f>F144-E144</f>
        <v>40.100000000000009</v>
      </c>
      <c r="H144" s="7">
        <f>IF(F144&gt;50, G144*20%, G144*10%)</f>
        <v>8.0200000000000014</v>
      </c>
      <c r="I144" s="5" t="s">
        <v>19</v>
      </c>
      <c r="J144" s="5" t="s">
        <v>20</v>
      </c>
      <c r="K144" s="5" t="s">
        <v>168</v>
      </c>
    </row>
    <row r="145" spans="1:11">
      <c r="A145" s="5" t="s">
        <v>60</v>
      </c>
      <c r="B145" s="5" t="s">
        <v>189</v>
      </c>
      <c r="C145" s="5">
        <v>6119</v>
      </c>
      <c r="D145" s="5" t="s">
        <v>22</v>
      </c>
      <c r="E145" s="6">
        <v>9</v>
      </c>
      <c r="F145" s="6">
        <v>14</v>
      </c>
      <c r="G145" s="7">
        <f>F145-E145</f>
        <v>5</v>
      </c>
      <c r="H145" s="7">
        <f>IF(F145&gt;50, G145*20%, G145*10%)</f>
        <v>0.5</v>
      </c>
      <c r="I145" s="5" t="s">
        <v>19</v>
      </c>
      <c r="J145" s="5" t="s">
        <v>20</v>
      </c>
      <c r="K145" s="5" t="s">
        <v>168</v>
      </c>
    </row>
    <row r="146" spans="1:11">
      <c r="A146" s="5" t="s">
        <v>60</v>
      </c>
      <c r="B146" s="5" t="s">
        <v>190</v>
      </c>
      <c r="C146" s="5">
        <v>2877</v>
      </c>
      <c r="D146" s="5" t="s">
        <v>13</v>
      </c>
      <c r="E146" s="6">
        <v>11.4</v>
      </c>
      <c r="F146" s="6">
        <v>16.3</v>
      </c>
      <c r="G146" s="7">
        <f>F146-E146</f>
        <v>4.9000000000000004</v>
      </c>
      <c r="H146" s="7">
        <f>IF(F146&gt;50, G146*20%, G146*10%)</f>
        <v>0.49000000000000005</v>
      </c>
      <c r="I146" s="5" t="s">
        <v>23</v>
      </c>
      <c r="J146" s="5" t="s">
        <v>24</v>
      </c>
      <c r="K146" s="5" t="s">
        <v>168</v>
      </c>
    </row>
    <row r="147" spans="1:11">
      <c r="A147" s="5" t="s">
        <v>60</v>
      </c>
      <c r="B147" s="5" t="s">
        <v>191</v>
      </c>
      <c r="C147" s="5">
        <v>9212</v>
      </c>
      <c r="D147" s="5" t="s">
        <v>29</v>
      </c>
      <c r="E147" s="6">
        <v>4</v>
      </c>
      <c r="F147" s="6">
        <v>7</v>
      </c>
      <c r="G147" s="7">
        <f>F147-E147</f>
        <v>3</v>
      </c>
      <c r="H147" s="7">
        <f>IF(F147&gt;50, G147*20%, G147*10%)</f>
        <v>0.30000000000000004</v>
      </c>
      <c r="I147" s="5" t="s">
        <v>23</v>
      </c>
      <c r="J147" s="5" t="s">
        <v>24</v>
      </c>
      <c r="K147" s="5" t="s">
        <v>168</v>
      </c>
    </row>
    <row r="148" spans="1:11">
      <c r="A148" s="5" t="s">
        <v>66</v>
      </c>
      <c r="B148" s="5" t="s">
        <v>192</v>
      </c>
      <c r="C148" s="5">
        <v>2499</v>
      </c>
      <c r="D148" s="5" t="s">
        <v>40</v>
      </c>
      <c r="E148" s="6">
        <v>6.2</v>
      </c>
      <c r="F148" s="6">
        <v>9.1999999999999993</v>
      </c>
      <c r="G148" s="7">
        <f>F148-E148</f>
        <v>2.9999999999999991</v>
      </c>
      <c r="H148" s="7">
        <f>IF(F148&gt;50, G148*20%, G148*10%)</f>
        <v>0.29999999999999993</v>
      </c>
      <c r="I148" s="5" t="s">
        <v>34</v>
      </c>
      <c r="J148" s="5" t="s">
        <v>35</v>
      </c>
      <c r="K148" s="5" t="s">
        <v>168</v>
      </c>
    </row>
    <row r="149" spans="1:11">
      <c r="A149" s="5" t="s">
        <v>66</v>
      </c>
      <c r="B149" s="5" t="s">
        <v>193</v>
      </c>
      <c r="C149" s="5">
        <v>6622</v>
      </c>
      <c r="D149" s="5" t="s">
        <v>18</v>
      </c>
      <c r="E149" s="6">
        <v>42</v>
      </c>
      <c r="F149" s="6">
        <v>77</v>
      </c>
      <c r="G149" s="7">
        <f>F149-E149</f>
        <v>35</v>
      </c>
      <c r="H149" s="7">
        <f>IF(F149&gt;50, G149*20%, G149*10%)</f>
        <v>7</v>
      </c>
      <c r="I149" s="5" t="s">
        <v>34</v>
      </c>
      <c r="J149" s="5" t="s">
        <v>35</v>
      </c>
      <c r="K149" s="5" t="s">
        <v>168</v>
      </c>
    </row>
    <row r="150" spans="1:11">
      <c r="A150" s="5" t="s">
        <v>66</v>
      </c>
      <c r="B150" s="5" t="s">
        <v>194</v>
      </c>
      <c r="C150" s="5">
        <v>2499</v>
      </c>
      <c r="D150" s="5" t="s">
        <v>40</v>
      </c>
      <c r="E150" s="6">
        <v>6.2</v>
      </c>
      <c r="F150" s="6">
        <v>9.1999999999999993</v>
      </c>
      <c r="G150" s="7">
        <f>F150-E150</f>
        <v>2.9999999999999991</v>
      </c>
      <c r="H150" s="7">
        <f>IF(F150&gt;50, G150*20%, G150*10%)</f>
        <v>0.29999999999999993</v>
      </c>
      <c r="I150" s="5" t="s">
        <v>34</v>
      </c>
      <c r="J150" s="5" t="s">
        <v>35</v>
      </c>
      <c r="K150" s="5" t="s">
        <v>168</v>
      </c>
    </row>
    <row r="151" spans="1:11">
      <c r="A151" s="5" t="s">
        <v>71</v>
      </c>
      <c r="B151" s="5" t="s">
        <v>195</v>
      </c>
      <c r="C151" s="5">
        <v>1109</v>
      </c>
      <c r="D151" s="5" t="s">
        <v>46</v>
      </c>
      <c r="E151" s="6">
        <v>3</v>
      </c>
      <c r="F151" s="6">
        <v>8</v>
      </c>
      <c r="G151" s="7">
        <f>F151-E151</f>
        <v>5</v>
      </c>
      <c r="H151" s="7">
        <f>IF(F151&gt;50, G151*20%, G151*10%)</f>
        <v>0.5</v>
      </c>
      <c r="I151" s="5" t="s">
        <v>19</v>
      </c>
      <c r="J151" s="5" t="s">
        <v>20</v>
      </c>
      <c r="K151" s="5" t="s">
        <v>168</v>
      </c>
    </row>
    <row r="152" spans="1:11">
      <c r="A152" s="5" t="s">
        <v>71</v>
      </c>
      <c r="B152" s="5" t="s">
        <v>196</v>
      </c>
      <c r="C152" s="5">
        <v>2877</v>
      </c>
      <c r="D152" s="5" t="s">
        <v>13</v>
      </c>
      <c r="E152" s="6">
        <v>11.4</v>
      </c>
      <c r="F152" s="6">
        <v>16.3</v>
      </c>
      <c r="G152" s="7">
        <f>F152-E152</f>
        <v>4.9000000000000004</v>
      </c>
      <c r="H152" s="7">
        <f>IF(F152&gt;50, G152*20%, G152*10%)</f>
        <v>0.49000000000000005</v>
      </c>
      <c r="I152" s="5" t="s">
        <v>19</v>
      </c>
      <c r="J152" s="5" t="s">
        <v>20</v>
      </c>
      <c r="K152" s="5" t="s">
        <v>168</v>
      </c>
    </row>
    <row r="153" spans="1:11">
      <c r="A153" s="5" t="s">
        <v>71</v>
      </c>
      <c r="B153" s="5" t="s">
        <v>197</v>
      </c>
      <c r="C153" s="5">
        <v>1109</v>
      </c>
      <c r="D153" s="5" t="s">
        <v>46</v>
      </c>
      <c r="E153" s="6">
        <v>3</v>
      </c>
      <c r="F153" s="6">
        <v>8</v>
      </c>
      <c r="G153" s="7">
        <f>F153-E153</f>
        <v>5</v>
      </c>
      <c r="H153" s="7">
        <f>IF(F153&gt;50, G153*20%, G153*10%)</f>
        <v>0.5</v>
      </c>
      <c r="I153" s="5" t="s">
        <v>19</v>
      </c>
      <c r="J153" s="5" t="s">
        <v>20</v>
      </c>
      <c r="K153" s="5" t="s">
        <v>168</v>
      </c>
    </row>
    <row r="154" spans="1:11">
      <c r="A154" s="5" t="s">
        <v>71</v>
      </c>
      <c r="B154" s="5" t="s">
        <v>198</v>
      </c>
      <c r="C154" s="5">
        <v>2877</v>
      </c>
      <c r="D154" s="5" t="s">
        <v>13</v>
      </c>
      <c r="E154" s="6">
        <v>11.4</v>
      </c>
      <c r="F154" s="6">
        <v>16.3</v>
      </c>
      <c r="G154" s="7">
        <f>F154-E154</f>
        <v>4.9000000000000004</v>
      </c>
      <c r="H154" s="7">
        <f>IF(F154&gt;50, G154*20%, G154*10%)</f>
        <v>0.49000000000000005</v>
      </c>
      <c r="I154" s="5" t="s">
        <v>34</v>
      </c>
      <c r="J154" s="5" t="s">
        <v>35</v>
      </c>
      <c r="K154" s="5" t="s">
        <v>168</v>
      </c>
    </row>
    <row r="155" spans="1:11">
      <c r="A155" s="5" t="s">
        <v>80</v>
      </c>
      <c r="B155" s="5" t="s">
        <v>199</v>
      </c>
      <c r="C155" s="5">
        <v>8722</v>
      </c>
      <c r="D155" s="5" t="s">
        <v>38</v>
      </c>
      <c r="E155" s="6">
        <v>344</v>
      </c>
      <c r="F155" s="6">
        <v>502</v>
      </c>
      <c r="G155" s="7">
        <f>F155-E155</f>
        <v>158</v>
      </c>
      <c r="H155" s="7">
        <f>IF(F155&gt;50, G155*20%, G155*10%)</f>
        <v>31.6</v>
      </c>
      <c r="I155" s="5" t="s">
        <v>14</v>
      </c>
      <c r="J155" s="5" t="s">
        <v>15</v>
      </c>
      <c r="K155" s="5" t="s">
        <v>168</v>
      </c>
    </row>
    <row r="156" spans="1:11">
      <c r="A156" s="5" t="s">
        <v>80</v>
      </c>
      <c r="B156" s="5" t="s">
        <v>200</v>
      </c>
      <c r="C156" s="5">
        <v>9822</v>
      </c>
      <c r="D156" s="5" t="s">
        <v>31</v>
      </c>
      <c r="E156" s="6">
        <v>58.3</v>
      </c>
      <c r="F156" s="6">
        <v>98.4</v>
      </c>
      <c r="G156" s="7">
        <f>F156-E156</f>
        <v>40.100000000000009</v>
      </c>
      <c r="H156" s="7">
        <f>IF(F156&gt;50, G156*20%, G156*10%)</f>
        <v>8.0200000000000014</v>
      </c>
      <c r="I156" s="5" t="s">
        <v>23</v>
      </c>
      <c r="J156" s="5" t="s">
        <v>24</v>
      </c>
      <c r="K156" s="5" t="s">
        <v>168</v>
      </c>
    </row>
    <row r="157" spans="1:11">
      <c r="A157" s="5" t="s">
        <v>80</v>
      </c>
      <c r="B157" s="5" t="s">
        <v>201</v>
      </c>
      <c r="C157" s="5">
        <v>8722</v>
      </c>
      <c r="D157" s="5" t="s">
        <v>38</v>
      </c>
      <c r="E157" s="6">
        <v>344</v>
      </c>
      <c r="F157" s="6">
        <v>502</v>
      </c>
      <c r="G157" s="7">
        <f>F157-E157</f>
        <v>158</v>
      </c>
      <c r="H157" s="7">
        <f>IF(F157&gt;50, G157*20%, G157*10%)</f>
        <v>31.6</v>
      </c>
      <c r="I157" s="5" t="s">
        <v>19</v>
      </c>
      <c r="J157" s="5" t="s">
        <v>20</v>
      </c>
      <c r="K157" s="5" t="s">
        <v>168</v>
      </c>
    </row>
    <row r="158" spans="1:11">
      <c r="A158" s="5" t="s">
        <v>84</v>
      </c>
      <c r="B158" s="5" t="s">
        <v>202</v>
      </c>
      <c r="C158" s="5">
        <v>4421</v>
      </c>
      <c r="D158" s="5" t="s">
        <v>59</v>
      </c>
      <c r="E158" s="6">
        <v>45</v>
      </c>
      <c r="F158" s="6">
        <v>87</v>
      </c>
      <c r="G158" s="7">
        <f>F158-E158</f>
        <v>42</v>
      </c>
      <c r="H158" s="7">
        <f>IF(F158&gt;50, G158*20%, G158*10%)</f>
        <v>8.4</v>
      </c>
      <c r="I158" s="5" t="s">
        <v>14</v>
      </c>
      <c r="J158" s="5" t="s">
        <v>15</v>
      </c>
      <c r="K158" s="5" t="s">
        <v>168</v>
      </c>
    </row>
    <row r="159" spans="1:11">
      <c r="A159" s="5" t="s">
        <v>84</v>
      </c>
      <c r="B159" s="5" t="s">
        <v>203</v>
      </c>
      <c r="C159" s="5">
        <v>9822</v>
      </c>
      <c r="D159" s="5" t="s">
        <v>31</v>
      </c>
      <c r="E159" s="6">
        <v>58.3</v>
      </c>
      <c r="F159" s="6">
        <v>98.4</v>
      </c>
      <c r="G159" s="7">
        <f>F159-E159</f>
        <v>40.100000000000009</v>
      </c>
      <c r="H159" s="7">
        <f>IF(F159&gt;50, G159*20%, G159*10%)</f>
        <v>8.0200000000000014</v>
      </c>
      <c r="I159" s="5" t="s">
        <v>34</v>
      </c>
      <c r="J159" s="5" t="s">
        <v>35</v>
      </c>
      <c r="K159" s="5" t="s">
        <v>168</v>
      </c>
    </row>
    <row r="160" spans="1:11">
      <c r="A160" s="5" t="s">
        <v>87</v>
      </c>
      <c r="B160" s="5" t="s">
        <v>204</v>
      </c>
      <c r="C160" s="5">
        <v>2242</v>
      </c>
      <c r="D160" s="5" t="s">
        <v>26</v>
      </c>
      <c r="E160" s="6">
        <v>60</v>
      </c>
      <c r="F160" s="6">
        <v>124</v>
      </c>
      <c r="G160" s="7">
        <f>F160-E160</f>
        <v>64</v>
      </c>
      <c r="H160" s="7">
        <f>IF(F160&gt;50, G160*20%, G160*10%)</f>
        <v>12.8</v>
      </c>
      <c r="I160" s="5" t="s">
        <v>34</v>
      </c>
      <c r="J160" s="5" t="s">
        <v>35</v>
      </c>
      <c r="K160" s="5" t="s">
        <v>168</v>
      </c>
    </row>
    <row r="161" spans="1:11">
      <c r="A161" s="5" t="s">
        <v>87</v>
      </c>
      <c r="B161" s="5" t="s">
        <v>205</v>
      </c>
      <c r="C161" s="5">
        <v>8722</v>
      </c>
      <c r="D161" s="5" t="s">
        <v>38</v>
      </c>
      <c r="E161" s="6">
        <v>344</v>
      </c>
      <c r="F161" s="6">
        <v>502</v>
      </c>
      <c r="G161" s="7">
        <f>F161-E161</f>
        <v>158</v>
      </c>
      <c r="H161" s="7">
        <f>IF(F161&gt;50, G161*20%, G161*10%)</f>
        <v>31.6</v>
      </c>
      <c r="I161" s="5" t="s">
        <v>23</v>
      </c>
      <c r="J161" s="5" t="s">
        <v>24</v>
      </c>
      <c r="K161" s="5" t="s">
        <v>168</v>
      </c>
    </row>
    <row r="162" spans="1:11">
      <c r="A162" s="5" t="s">
        <v>11</v>
      </c>
      <c r="B162" s="5" t="s">
        <v>206</v>
      </c>
      <c r="C162" s="5">
        <v>6119</v>
      </c>
      <c r="D162" s="5" t="s">
        <v>22</v>
      </c>
      <c r="E162" s="6">
        <v>9</v>
      </c>
      <c r="F162" s="6">
        <v>14</v>
      </c>
      <c r="G162" s="7">
        <f>F162-E162</f>
        <v>5</v>
      </c>
      <c r="H162" s="7">
        <f>IF(F162&gt;50, G162*20%, G162*10%)</f>
        <v>0.5</v>
      </c>
      <c r="I162" s="5" t="s">
        <v>19</v>
      </c>
      <c r="J162" s="5" t="s">
        <v>20</v>
      </c>
      <c r="K162" s="5" t="s">
        <v>207</v>
      </c>
    </row>
    <row r="163" spans="1:11">
      <c r="A163" s="5" t="s">
        <v>27</v>
      </c>
      <c r="B163" s="5" t="s">
        <v>208</v>
      </c>
      <c r="C163" s="5">
        <v>8722</v>
      </c>
      <c r="D163" s="5" t="s">
        <v>38</v>
      </c>
      <c r="E163" s="6">
        <v>344</v>
      </c>
      <c r="F163" s="6">
        <v>502</v>
      </c>
      <c r="G163" s="7">
        <f>F163-E163</f>
        <v>158</v>
      </c>
      <c r="H163" s="7">
        <f>IF(F163&gt;50, G163*20%, G163*10%)</f>
        <v>31.6</v>
      </c>
      <c r="I163" s="5" t="s">
        <v>14</v>
      </c>
      <c r="J163" s="5" t="s">
        <v>15</v>
      </c>
      <c r="K163" s="5" t="s">
        <v>207</v>
      </c>
    </row>
    <row r="164" spans="1:11">
      <c r="A164" s="5" t="s">
        <v>101</v>
      </c>
      <c r="B164" s="5" t="s">
        <v>209</v>
      </c>
      <c r="C164" s="5">
        <v>8722</v>
      </c>
      <c r="D164" s="5" t="s">
        <v>38</v>
      </c>
      <c r="E164" s="6">
        <v>344</v>
      </c>
      <c r="F164" s="6">
        <v>502</v>
      </c>
      <c r="G164" s="7">
        <f>F164-E164</f>
        <v>158</v>
      </c>
      <c r="H164" s="7">
        <f>IF(F164&gt;50, G164*20%, G164*10%)</f>
        <v>31.6</v>
      </c>
      <c r="I164" s="5" t="s">
        <v>19</v>
      </c>
      <c r="J164" s="5" t="s">
        <v>20</v>
      </c>
      <c r="K164" s="5" t="s">
        <v>207</v>
      </c>
    </row>
    <row r="165" spans="1:11">
      <c r="A165" s="5" t="s">
        <v>36</v>
      </c>
      <c r="B165" s="5" t="s">
        <v>210</v>
      </c>
      <c r="C165" s="5">
        <v>2877</v>
      </c>
      <c r="D165" s="5" t="s">
        <v>13</v>
      </c>
      <c r="E165" s="6">
        <v>11.4</v>
      </c>
      <c r="F165" s="6">
        <v>16.3</v>
      </c>
      <c r="G165" s="7">
        <f>F165-E165</f>
        <v>4.9000000000000004</v>
      </c>
      <c r="H165" s="7">
        <f>IF(F165&gt;50, G165*20%, G165*10%)</f>
        <v>0.49000000000000005</v>
      </c>
      <c r="I165" s="5" t="s">
        <v>19</v>
      </c>
      <c r="J165" s="5" t="s">
        <v>20</v>
      </c>
      <c r="K165" s="5" t="s">
        <v>207</v>
      </c>
    </row>
    <row r="166" spans="1:11">
      <c r="A166" s="5" t="s">
        <v>36</v>
      </c>
      <c r="B166" s="5" t="s">
        <v>211</v>
      </c>
      <c r="C166" s="5">
        <v>9212</v>
      </c>
      <c r="D166" s="5" t="s">
        <v>29</v>
      </c>
      <c r="E166" s="6">
        <v>4</v>
      </c>
      <c r="F166" s="6">
        <v>7</v>
      </c>
      <c r="G166" s="7">
        <f>F166-E166</f>
        <v>3</v>
      </c>
      <c r="H166" s="7">
        <f>IF(F166&gt;50, G166*20%, G166*10%)</f>
        <v>0.30000000000000004</v>
      </c>
      <c r="I166" s="5" t="s">
        <v>34</v>
      </c>
      <c r="J166" s="5" t="s">
        <v>35</v>
      </c>
      <c r="K166" s="5" t="s">
        <v>207</v>
      </c>
    </row>
    <row r="167" spans="1:11">
      <c r="A167" s="5" t="s">
        <v>51</v>
      </c>
      <c r="B167" s="5" t="s">
        <v>212</v>
      </c>
      <c r="C167" s="5">
        <v>6119</v>
      </c>
      <c r="D167" s="5" t="s">
        <v>22</v>
      </c>
      <c r="E167" s="6">
        <v>9</v>
      </c>
      <c r="F167" s="6">
        <v>14</v>
      </c>
      <c r="G167" s="7">
        <f>F167-E167</f>
        <v>5</v>
      </c>
      <c r="H167" s="7">
        <f>IF(F167&gt;50, G167*20%, G167*10%)</f>
        <v>0.5</v>
      </c>
      <c r="I167" s="5" t="s">
        <v>14</v>
      </c>
      <c r="J167" s="5" t="s">
        <v>15</v>
      </c>
      <c r="K167" s="5" t="s">
        <v>207</v>
      </c>
    </row>
    <row r="168" spans="1:11">
      <c r="A168" s="5" t="s">
        <v>51</v>
      </c>
      <c r="B168" s="5" t="s">
        <v>213</v>
      </c>
      <c r="C168" s="5">
        <v>2242</v>
      </c>
      <c r="D168" s="5" t="s">
        <v>26</v>
      </c>
      <c r="E168" s="6">
        <v>60</v>
      </c>
      <c r="F168" s="6">
        <v>124</v>
      </c>
      <c r="G168" s="7">
        <f>F168-E168</f>
        <v>64</v>
      </c>
      <c r="H168" s="7">
        <f>IF(F168&gt;50, G168*20%, G168*10%)</f>
        <v>12.8</v>
      </c>
      <c r="I168" s="5" t="s">
        <v>14</v>
      </c>
      <c r="J168" s="5" t="s">
        <v>15</v>
      </c>
      <c r="K168" s="5" t="s">
        <v>207</v>
      </c>
    </row>
    <row r="169" spans="1:11">
      <c r="A169" s="5" t="s">
        <v>60</v>
      </c>
      <c r="B169" s="5" t="s">
        <v>214</v>
      </c>
      <c r="C169" s="5">
        <v>6119</v>
      </c>
      <c r="D169" s="5" t="s">
        <v>22</v>
      </c>
      <c r="E169" s="6">
        <v>9</v>
      </c>
      <c r="F169" s="6">
        <v>14</v>
      </c>
      <c r="G169" s="7">
        <f>F169-E169</f>
        <v>5</v>
      </c>
      <c r="H169" s="7">
        <f>IF(F169&gt;50, G169*20%, G169*10%)</f>
        <v>0.5</v>
      </c>
      <c r="I169" s="5" t="s">
        <v>19</v>
      </c>
      <c r="J169" s="5" t="s">
        <v>20</v>
      </c>
      <c r="K169" s="5" t="s">
        <v>207</v>
      </c>
    </row>
    <row r="170" spans="1:11">
      <c r="A170" s="5" t="s">
        <v>66</v>
      </c>
      <c r="B170" s="5" t="s">
        <v>215</v>
      </c>
      <c r="C170" s="5">
        <v>6119</v>
      </c>
      <c r="D170" s="5" t="s">
        <v>22</v>
      </c>
      <c r="E170" s="6">
        <v>9</v>
      </c>
      <c r="F170" s="6">
        <v>14</v>
      </c>
      <c r="G170" s="7">
        <f>F170-E170</f>
        <v>5</v>
      </c>
      <c r="H170" s="7">
        <f>IF(F170&gt;50, G170*20%, G170*10%)</f>
        <v>0.5</v>
      </c>
      <c r="I170" s="5" t="s">
        <v>34</v>
      </c>
      <c r="J170" s="5" t="s">
        <v>35</v>
      </c>
      <c r="K170" s="5" t="s">
        <v>207</v>
      </c>
    </row>
    <row r="171" spans="1:11">
      <c r="A171" s="5" t="s">
        <v>71</v>
      </c>
      <c r="B171" s="5" t="s">
        <v>216</v>
      </c>
      <c r="C171" s="5">
        <v>2877</v>
      </c>
      <c r="D171" s="5" t="s">
        <v>13</v>
      </c>
      <c r="E171" s="6">
        <v>11.4</v>
      </c>
      <c r="F171" s="6">
        <v>16.3</v>
      </c>
      <c r="G171" s="7">
        <f>F171-E171</f>
        <v>4.9000000000000004</v>
      </c>
      <c r="H171" s="7">
        <f>IF(F171&gt;50, G171*20%, G171*10%)</f>
        <v>0.49000000000000005</v>
      </c>
      <c r="I171" s="5" t="s">
        <v>19</v>
      </c>
      <c r="J171" s="5" t="s">
        <v>20</v>
      </c>
      <c r="K171" s="5" t="s">
        <v>207</v>
      </c>
    </row>
    <row r="172" spans="1:11">
      <c r="A172" s="5" t="s">
        <v>84</v>
      </c>
      <c r="B172" s="5" t="s">
        <v>217</v>
      </c>
      <c r="C172" s="5">
        <v>2242</v>
      </c>
      <c r="D172" s="5" t="s">
        <v>26</v>
      </c>
      <c r="E172" s="6">
        <v>60</v>
      </c>
      <c r="F172" s="6">
        <v>124</v>
      </c>
      <c r="G172" s="7">
        <f>F172-E172</f>
        <v>64</v>
      </c>
      <c r="H172" s="7">
        <f>IF(F172&gt;50, G172*20%, G172*10%)</f>
        <v>12.8</v>
      </c>
      <c r="I172" s="5" t="s">
        <v>19</v>
      </c>
      <c r="J172" s="5" t="s">
        <v>20</v>
      </c>
      <c r="K172" s="5" t="s">
        <v>207</v>
      </c>
    </row>
    <row r="175" spans="1:11">
      <c r="A175" s="12" t="s">
        <v>218</v>
      </c>
      <c r="B175" s="12"/>
      <c r="C175" s="12"/>
      <c r="D175" s="12"/>
      <c r="E175" s="13"/>
      <c r="F175" s="13">
        <f>SUM(F2:F172)</f>
        <v>17223.599999999988</v>
      </c>
    </row>
    <row r="176" spans="1:11">
      <c r="A176" s="12" t="s">
        <v>219</v>
      </c>
      <c r="B176" s="12"/>
      <c r="C176" s="12"/>
      <c r="D176" s="12"/>
      <c r="E176" s="13"/>
      <c r="F176" s="13">
        <f>SUMIF(F2:F172,"&gt;50")</f>
        <v>16208.399999999994</v>
      </c>
    </row>
    <row r="177" spans="1:6">
      <c r="A177" s="12" t="s">
        <v>220</v>
      </c>
      <c r="B177" s="12"/>
      <c r="C177" s="12"/>
      <c r="D177" s="12"/>
      <c r="E177" s="13"/>
      <c r="F177" s="13">
        <f>SUMIF(F2:F172,"&lt;50")</f>
        <v>1015.1999999999998</v>
      </c>
    </row>
  </sheetData>
  <sortState xmlns:xlrd2="http://schemas.microsoft.com/office/spreadsheetml/2017/richdata2" ref="A2:K172">
    <sortCondition ref="K2:K1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88EB-6400-46E1-BFB3-999BD2EAE7D9}">
  <dimension ref="A3:D8"/>
  <sheetViews>
    <sheetView workbookViewId="0">
      <selection activeCell="G8" sqref="G8"/>
    </sheetView>
  </sheetViews>
  <sheetFormatPr defaultRowHeight="15"/>
  <cols>
    <col min="1" max="1" width="13.28515625" bestFit="1" customWidth="1"/>
    <col min="2" max="2" width="16.140625" bestFit="1" customWidth="1"/>
    <col min="3" max="3" width="12.5703125" bestFit="1" customWidth="1"/>
    <col min="4" max="4" width="18.28515625" customWidth="1"/>
  </cols>
  <sheetData>
    <row r="3" spans="1:4">
      <c r="A3" s="8" t="s">
        <v>9</v>
      </c>
      <c r="B3" s="9" t="s">
        <v>221</v>
      </c>
      <c r="C3" s="9" t="s">
        <v>222</v>
      </c>
      <c r="D3" s="9" t="s">
        <v>223</v>
      </c>
    </row>
    <row r="4" spans="1:4">
      <c r="A4" s="9" t="s">
        <v>15</v>
      </c>
      <c r="B4" s="10">
        <v>6003.5</v>
      </c>
      <c r="C4" s="11">
        <v>2015.1</v>
      </c>
      <c r="D4" s="11">
        <v>396.75000000000017</v>
      </c>
    </row>
    <row r="5" spans="1:4">
      <c r="A5" s="9" t="s">
        <v>20</v>
      </c>
      <c r="B5" s="10">
        <v>5661.1</v>
      </c>
      <c r="C5" s="11">
        <v>2235.9000000000005</v>
      </c>
      <c r="D5" s="11">
        <v>432.77000000000021</v>
      </c>
    </row>
    <row r="6" spans="1:4">
      <c r="A6" s="9" t="s">
        <v>24</v>
      </c>
      <c r="B6" s="10">
        <v>3035.3000000000006</v>
      </c>
      <c r="C6" s="11">
        <v>1084.0999999999999</v>
      </c>
      <c r="D6" s="11">
        <v>209.45000000000005</v>
      </c>
    </row>
    <row r="7" spans="1:4">
      <c r="A7" s="9" t="s">
        <v>35</v>
      </c>
      <c r="B7" s="10">
        <v>2410.6999999999994</v>
      </c>
      <c r="C7" s="11">
        <v>1021.5999999999999</v>
      </c>
      <c r="D7" s="11">
        <v>193.81000000000006</v>
      </c>
    </row>
    <row r="8" spans="1:4">
      <c r="A8" s="9" t="s">
        <v>224</v>
      </c>
      <c r="B8" s="10">
        <v>17110.599999999999</v>
      </c>
      <c r="C8" s="11">
        <v>6356.7</v>
      </c>
      <c r="D8" s="11">
        <v>1232.7800000000004</v>
      </c>
    </row>
  </sheetData>
  <conditionalFormatting sqref="B3:B8">
    <cfRule type="top10" dxfId="1" priority="2" percent="1" bottom="1" rank="10"/>
  </conditionalFormatting>
  <conditionalFormatting sqref="B3:B8">
    <cfRule type="cellIs" dxfId="0" priority="1" operator="lessThan">
      <formula>2500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2026-05-08T13:10:22Z</dcterms:created>
  <dcterms:modified xsi:type="dcterms:W3CDTF">2026-05-08T17:17:28Z</dcterms:modified>
  <cp:category/>
  <cp:contentStatus/>
</cp:coreProperties>
</file>