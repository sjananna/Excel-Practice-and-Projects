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xr:revisionPtr revIDLastSave="0" documentId="8_{04E104D1-0ACC-4E8C-90D9-C9DF4802E9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1" l="1"/>
  <c r="C10" i="1"/>
  <c r="C24" i="1"/>
  <c r="C23" i="1"/>
  <c r="C9" i="1"/>
  <c r="C21" i="1"/>
  <c r="C20" i="1"/>
  <c r="C7" i="1"/>
  <c r="C6" i="1"/>
  <c r="C8" i="1" s="1"/>
</calcChain>
</file>

<file path=xl/sharedStrings.xml><?xml version="1.0" encoding="utf-8"?>
<sst xmlns="http://schemas.openxmlformats.org/spreadsheetml/2006/main" count="27" uniqueCount="20">
  <si>
    <t>CAT</t>
  </si>
  <si>
    <t>Adoption</t>
  </si>
  <si>
    <t>Cat</t>
  </si>
  <si>
    <t>Accessory List</t>
  </si>
  <si>
    <t>Collar</t>
  </si>
  <si>
    <t>Smaller ID Tag</t>
  </si>
  <si>
    <t>Food and Water Bowl</t>
  </si>
  <si>
    <t>Supplies List</t>
  </si>
  <si>
    <t>Cat food</t>
  </si>
  <si>
    <t>Litter</t>
  </si>
  <si>
    <t>Total Spend for 1st month without Accessory and Adption</t>
  </si>
  <si>
    <t>Total spend for 1st month without Supplies</t>
  </si>
  <si>
    <t>Total for the 1st Year</t>
  </si>
  <si>
    <t>DOG</t>
  </si>
  <si>
    <t>Dog</t>
  </si>
  <si>
    <t>Large ID tag</t>
  </si>
  <si>
    <t>Leash</t>
  </si>
  <si>
    <t>Supplies list</t>
  </si>
  <si>
    <t>Dog Food</t>
  </si>
  <si>
    <t>Dog treats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</si>
</sst>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6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2" fillId="0" borderId="0" xfId="0" applyFont="1"/>
    <xf numFmtId="0" fontId="0" fillId="6" borderId="0" xfId="0" applyFill="1"/>
    <xf numFmtId="44" fontId="0" fillId="7" borderId="0" xfId="0" applyNumberFormat="1" applyFill="1"/>
    <xf numFmtId="0" fontId="0" fillId="7" borderId="0" xfId="0" applyFill="1"/>
    <xf numFmtId="44" fontId="0" fillId="8" borderId="0" xfId="0" applyNumberForma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 Adoption</a:t>
            </a:r>
          </a:p>
        </c:rich>
      </c:tx>
      <c:layout>
        <c:manualLayout>
          <c:xMode val="edge"/>
          <c:yMode val="edge"/>
          <c:x val="0.41149354255522741"/>
          <c:y val="3.10465494791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Sheet1!$A$2:$B$10</c:f>
              <c:multiLvlStrCache>
                <c:ptCount val="9"/>
                <c:lvl>
                  <c:pt idx="0">
                    <c:v>Cat</c:v>
                  </c:pt>
                  <c:pt idx="1">
                    <c:v>Collar</c:v>
                  </c:pt>
                  <c:pt idx="2">
                    <c:v>Smaller ID Tag</c:v>
                  </c:pt>
                  <c:pt idx="3">
                    <c:v>Food and Water Bowl</c:v>
                  </c:pt>
                  <c:pt idx="4">
                    <c:v>Cat food</c:v>
                  </c:pt>
                  <c:pt idx="5">
                    <c:v>Litter</c:v>
                  </c:pt>
                  <c:pt idx="6">
                    <c:v>Total Spend for 1st month without Accessory and Adption</c:v>
                  </c:pt>
                  <c:pt idx="7">
                    <c:v>Total spend for 1st month without Supplies</c:v>
                  </c:pt>
                  <c:pt idx="8">
                    <c:v>Total for the 1st Year</c:v>
                  </c:pt>
                </c:lvl>
                <c:lvl>
                  <c:pt idx="0">
                    <c:v>Adoption</c:v>
                  </c:pt>
                  <c:pt idx="1">
                    <c:v>Accessory List</c:v>
                  </c:pt>
                  <c:pt idx="4">
                    <c:v>Supplies List</c:v>
                  </c:pt>
                </c:lvl>
              </c:multiLvlStrCache>
            </c:multiLvlStrRef>
          </c:cat>
          <c:val>
            <c:numRef>
              <c:f>Sheet1!$C$2:$C$10</c:f>
              <c:numCache>
                <c:formatCode>_("$"* #,##0.00_);_("$"* \(#,##0.00\);_("$"* "-"??_);_(@_)</c:formatCode>
                <c:ptCount val="9"/>
                <c:pt idx="0">
                  <c:v>90</c:v>
                </c:pt>
                <c:pt idx="1">
                  <c:v>2</c:v>
                </c:pt>
                <c:pt idx="2">
                  <c:v>4.5</c:v>
                </c:pt>
                <c:pt idx="3">
                  <c:v>7</c:v>
                </c:pt>
                <c:pt idx="4">
                  <c:v>22</c:v>
                </c:pt>
                <c:pt idx="5">
                  <c:v>16</c:v>
                </c:pt>
                <c:pt idx="6">
                  <c:v>38</c:v>
                </c:pt>
                <c:pt idx="7">
                  <c:v>96.5</c:v>
                </c:pt>
                <c:pt idx="8">
                  <c:v>552.5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3-404A-94AF-8D5E7D9EA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2709639"/>
        <c:axId val="1512710663"/>
      </c:barChart>
      <c:catAx>
        <c:axId val="1512709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710663"/>
        <c:crosses val="autoZero"/>
        <c:auto val="1"/>
        <c:lblAlgn val="ctr"/>
        <c:lblOffset val="100"/>
        <c:noMultiLvlLbl val="0"/>
      </c:catAx>
      <c:valAx>
        <c:axId val="1512710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709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Dog Adoption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Sheet1!$A$15:$B$25</c:f>
              <c:multiLvlStrCache>
                <c:ptCount val="11"/>
                <c:lvl>
                  <c:pt idx="0">
                    <c:v>Dog</c:v>
                  </c:pt>
                  <c:pt idx="1">
                    <c:v>Collar</c:v>
                  </c:pt>
                  <c:pt idx="2">
                    <c:v>Large ID tag</c:v>
                  </c:pt>
                  <c:pt idx="3">
                    <c:v>Food and Water Bowl</c:v>
                  </c:pt>
                  <c:pt idx="4">
                    <c:v>Leash</c:v>
                  </c:pt>
                  <c:pt idx="5">
                    <c:v>Dog Food</c:v>
                  </c:pt>
                  <c:pt idx="6">
                    <c:v>Dog treats</c:v>
                  </c:pt>
                  <c:pt idx="8">
                    <c:v>Total Spend for 1st month without Accessory and Adption</c:v>
                  </c:pt>
                  <c:pt idx="9">
                    <c:v>Total spend for 1st month without Supplies</c:v>
                  </c:pt>
                  <c:pt idx="10">
                    <c:v>Total for the 1st Year</c:v>
                  </c:pt>
                </c:lvl>
                <c:lvl>
                  <c:pt idx="0">
                    <c:v>Adoption</c:v>
                  </c:pt>
                  <c:pt idx="1">
                    <c:v>Accessory List</c:v>
                  </c:pt>
                  <c:pt idx="5">
                    <c:v>Supplies list</c:v>
                  </c:pt>
                </c:lvl>
              </c:multiLvlStrCache>
            </c:multiLvlStrRef>
          </c:cat>
          <c:val>
            <c:numRef>
              <c:f>Sheet1!$C$15:$C$25</c:f>
              <c:numCache>
                <c:formatCode>General</c:formatCode>
                <c:ptCount val="11"/>
                <c:pt idx="0">
                  <c:v>50</c:v>
                </c:pt>
                <c:pt idx="1">
                  <c:v>2.5</c:v>
                </c:pt>
                <c:pt idx="2">
                  <c:v>5.5</c:v>
                </c:pt>
                <c:pt idx="3">
                  <c:v>7</c:v>
                </c:pt>
                <c:pt idx="4">
                  <c:v>3</c:v>
                </c:pt>
                <c:pt idx="5">
                  <c:v>42</c:v>
                </c:pt>
                <c:pt idx="6">
                  <c:v>6</c:v>
                </c:pt>
                <c:pt idx="8">
                  <c:v>48</c:v>
                </c:pt>
                <c:pt idx="9">
                  <c:v>68</c:v>
                </c:pt>
                <c:pt idx="10">
                  <c:v>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3-48BB-8007-8AB649112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0"/>
        <c:axId val="1308198407"/>
        <c:axId val="1308200455"/>
      </c:barChart>
      <c:catAx>
        <c:axId val="1308198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00455"/>
        <c:crosses val="autoZero"/>
        <c:auto val="1"/>
        <c:lblAlgn val="ctr"/>
        <c:lblOffset val="100"/>
        <c:noMultiLvlLbl val="0"/>
      </c:catAx>
      <c:valAx>
        <c:axId val="1308200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9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0</xdr:row>
      <xdr:rowOff>9525</xdr:rowOff>
    </xdr:from>
    <xdr:to>
      <xdr:col>12</xdr:col>
      <xdr:colOff>114300</xdr:colOff>
      <xdr:row>13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86A43-9CF5-CB40-2DA4-605C30EEE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409575</xdr:colOff>
      <xdr:row>14</xdr:row>
      <xdr:rowOff>0</xdr:rowOff>
    </xdr:from>
    <xdr:to>
      <xdr:col>12</xdr:col>
      <xdr:colOff>123825</xdr:colOff>
      <xdr:row>27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555579-6E97-B50E-BFCB-DC61813AD610}"/>
            </a:ext>
            <a:ext uri="{147F2762-F138-4A5C-976F-8EAC2B608ADB}">
              <a16:predDERef xmlns:a16="http://schemas.microsoft.com/office/drawing/2014/main" pred="{6FD86A43-9CF5-CB40-2DA4-605C30EEE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M16" sqref="M16"/>
    </sheetView>
  </sheetViews>
  <sheetFormatPr defaultRowHeight="15"/>
  <cols>
    <col min="1" max="1" width="13" bestFit="1" customWidth="1"/>
    <col min="2" max="2" width="48.5703125" customWidth="1"/>
    <col min="3" max="3" width="22.5703125" bestFit="1" customWidth="1"/>
  </cols>
  <sheetData>
    <row r="1" spans="1:3">
      <c r="A1" s="1" t="s">
        <v>0</v>
      </c>
    </row>
    <row r="2" spans="1:3">
      <c r="A2" s="2" t="s">
        <v>1</v>
      </c>
      <c r="B2" s="4" t="s">
        <v>2</v>
      </c>
      <c r="C2" s="11">
        <v>90</v>
      </c>
    </row>
    <row r="3" spans="1:3">
      <c r="A3" s="2" t="s">
        <v>3</v>
      </c>
      <c r="B3" s="5" t="s">
        <v>4</v>
      </c>
      <c r="C3" s="11">
        <v>2</v>
      </c>
    </row>
    <row r="4" spans="1:3">
      <c r="A4" s="2"/>
      <c r="B4" s="5" t="s">
        <v>5</v>
      </c>
      <c r="C4" s="11">
        <v>4.5</v>
      </c>
    </row>
    <row r="5" spans="1:3">
      <c r="A5" s="2"/>
      <c r="B5" s="5" t="s">
        <v>6</v>
      </c>
      <c r="C5" s="11">
        <v>7</v>
      </c>
    </row>
    <row r="6" spans="1:3">
      <c r="A6" s="2" t="s">
        <v>7</v>
      </c>
      <c r="B6" s="5" t="s">
        <v>8</v>
      </c>
      <c r="C6" s="11">
        <f>2*11</f>
        <v>22</v>
      </c>
    </row>
    <row r="7" spans="1:3">
      <c r="B7" s="5" t="s">
        <v>9</v>
      </c>
      <c r="C7" s="11">
        <f>2*8</f>
        <v>16</v>
      </c>
    </row>
    <row r="8" spans="1:3" ht="29.25">
      <c r="B8" s="6" t="s">
        <v>10</v>
      </c>
      <c r="C8" s="11">
        <f>SUM(C6:C7)</f>
        <v>38</v>
      </c>
    </row>
    <row r="9" spans="1:3">
      <c r="B9" s="6" t="s">
        <v>11</v>
      </c>
      <c r="C9" s="11">
        <f>SUM(C2:C4)</f>
        <v>96.5</v>
      </c>
    </row>
    <row r="10" spans="1:3">
      <c r="B10" s="10" t="s">
        <v>12</v>
      </c>
      <c r="C10" s="13">
        <f>(12*C8)+C9</f>
        <v>552.5</v>
      </c>
    </row>
    <row r="14" spans="1:3">
      <c r="A14" s="9" t="s">
        <v>13</v>
      </c>
    </row>
    <row r="15" spans="1:3">
      <c r="A15" s="3" t="s">
        <v>1</v>
      </c>
      <c r="B15" s="7" t="s">
        <v>14</v>
      </c>
      <c r="C15" s="12">
        <v>50</v>
      </c>
    </row>
    <row r="16" spans="1:3">
      <c r="A16" s="3" t="s">
        <v>3</v>
      </c>
      <c r="B16" s="7" t="s">
        <v>4</v>
      </c>
      <c r="C16" s="12">
        <v>2.5</v>
      </c>
    </row>
    <row r="17" spans="1:3">
      <c r="A17" s="3"/>
      <c r="B17" s="7" t="s">
        <v>15</v>
      </c>
      <c r="C17" s="12">
        <v>5.5</v>
      </c>
    </row>
    <row r="18" spans="1:3">
      <c r="A18" s="3"/>
      <c r="B18" s="7" t="s">
        <v>6</v>
      </c>
      <c r="C18" s="12">
        <v>7</v>
      </c>
    </row>
    <row r="19" spans="1:3">
      <c r="A19" s="3"/>
      <c r="B19" s="7" t="s">
        <v>16</v>
      </c>
      <c r="C19" s="12">
        <v>3</v>
      </c>
    </row>
    <row r="20" spans="1:3">
      <c r="A20" s="3" t="s">
        <v>17</v>
      </c>
      <c r="B20" s="7" t="s">
        <v>18</v>
      </c>
      <c r="C20" s="12">
        <f>21*2</f>
        <v>42</v>
      </c>
    </row>
    <row r="21" spans="1:3">
      <c r="B21" s="7" t="s">
        <v>19</v>
      </c>
      <c r="C21" s="12">
        <f>3*2</f>
        <v>6</v>
      </c>
    </row>
    <row r="22" spans="1:3">
      <c r="B22" s="7"/>
      <c r="C22" s="12"/>
    </row>
    <row r="23" spans="1:3" ht="29.25">
      <c r="B23" s="8" t="s">
        <v>10</v>
      </c>
      <c r="C23" s="12">
        <f>SUM(C20:C21)</f>
        <v>48</v>
      </c>
    </row>
    <row r="24" spans="1:3">
      <c r="B24" s="8" t="s">
        <v>11</v>
      </c>
      <c r="C24" s="12">
        <f>SUM(C15:C19)</f>
        <v>68</v>
      </c>
    </row>
    <row r="25" spans="1:3">
      <c r="B25" s="10" t="s">
        <v>12</v>
      </c>
      <c r="C25" s="14">
        <f>(12*C23)+C24</f>
        <v>644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2026-05-10T16:50:31Z</dcterms:created>
  <dcterms:modified xsi:type="dcterms:W3CDTF">2026-05-10T18:59:26Z</dcterms:modified>
  <cp:category/>
  <cp:contentStatus/>
</cp:coreProperties>
</file>