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AB9C8A18-AD19-458A-A5B2-588C4C7E91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6" i="1" l="1"/>
  <c r="AC25" i="1"/>
  <c r="AC24" i="1"/>
  <c r="AC2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4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X4" i="1"/>
  <c r="W20" i="1"/>
  <c r="V20" i="1"/>
  <c r="U20" i="1"/>
  <c r="T20" i="1"/>
  <c r="W19" i="1"/>
  <c r="V19" i="1"/>
  <c r="U19" i="1"/>
  <c r="T19" i="1"/>
  <c r="W18" i="1"/>
  <c r="V18" i="1"/>
  <c r="U18" i="1"/>
  <c r="T18" i="1"/>
  <c r="W17" i="1"/>
  <c r="V17" i="1"/>
  <c r="U17" i="1"/>
  <c r="T17" i="1"/>
  <c r="W16" i="1"/>
  <c r="V16" i="1"/>
  <c r="U16" i="1"/>
  <c r="T16" i="1"/>
  <c r="W15" i="1"/>
  <c r="V15" i="1"/>
  <c r="U15" i="1"/>
  <c r="T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S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5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AB20" i="1"/>
  <c r="AA20" i="1"/>
  <c r="Z20" i="1"/>
  <c r="Y20" i="1"/>
  <c r="AB19" i="1"/>
  <c r="AA19" i="1"/>
  <c r="Z19" i="1"/>
  <c r="Y19" i="1"/>
  <c r="AB18" i="1"/>
  <c r="AA18" i="1"/>
  <c r="Z18" i="1"/>
  <c r="Y18" i="1"/>
  <c r="AB17" i="1"/>
  <c r="AA17" i="1"/>
  <c r="Z17" i="1"/>
  <c r="Y17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AB5" i="1"/>
  <c r="AA5" i="1"/>
  <c r="Z5" i="1"/>
  <c r="Y5" i="1"/>
  <c r="AB4" i="1"/>
  <c r="AA4" i="1"/>
  <c r="Z4" i="1"/>
  <c r="Y4" i="1"/>
  <c r="Z3" i="1"/>
  <c r="AA3" i="1"/>
  <c r="AB3" i="1"/>
  <c r="Y3" i="1"/>
  <c r="U3" i="1"/>
  <c r="V3" i="1"/>
  <c r="W3" i="1"/>
  <c r="T3" i="1"/>
  <c r="O3" i="1"/>
  <c r="P3" i="1" s="1"/>
  <c r="Q3" i="1" s="1"/>
  <c r="R3" i="1" s="1"/>
  <c r="J3" i="1"/>
  <c r="K3" i="1" s="1"/>
  <c r="L3" i="1" s="1"/>
  <c r="M3" i="1" s="1"/>
  <c r="E3" i="1"/>
  <c r="F3" i="1" s="1"/>
  <c r="G3" i="1" s="1"/>
  <c r="H3" i="1" s="1"/>
  <c r="D26" i="1"/>
  <c r="C26" i="1"/>
  <c r="D24" i="1"/>
  <c r="D23" i="1"/>
  <c r="D25" i="1"/>
  <c r="C25" i="1"/>
  <c r="C24" i="1"/>
  <c r="C23" i="1"/>
  <c r="X5" i="1"/>
  <c r="X6" i="1"/>
  <c r="X7" i="1"/>
  <c r="X8" i="1"/>
  <c r="X10" i="1"/>
  <c r="X11" i="1"/>
  <c r="X12" i="1"/>
  <c r="X13" i="1"/>
  <c r="X14" i="1"/>
  <c r="X15" i="1"/>
  <c r="X16" i="1"/>
  <c r="X17" i="1"/>
  <c r="X18" i="1"/>
  <c r="X19" i="1"/>
  <c r="X20" i="1"/>
  <c r="X9" i="1" l="1"/>
</calcChain>
</file>

<file path=xl/sharedStrings.xml><?xml version="1.0" encoding="utf-8"?>
<sst xmlns="http://schemas.openxmlformats.org/spreadsheetml/2006/main" count="47" uniqueCount="47">
  <si>
    <t xml:space="preserve"> Employee Payrol</t>
  </si>
  <si>
    <t>Hours Worked</t>
  </si>
  <si>
    <t xml:space="preserve">Overtime Worked </t>
  </si>
  <si>
    <t>Pay</t>
  </si>
  <si>
    <t>Overtime Bonus</t>
  </si>
  <si>
    <t>Total</t>
  </si>
  <si>
    <t>Last name</t>
  </si>
  <si>
    <t>First Name</t>
  </si>
  <si>
    <t>Hourly Wage</t>
  </si>
  <si>
    <t>January Pay</t>
  </si>
  <si>
    <t>Kern</t>
  </si>
  <si>
    <t>Jon</t>
  </si>
  <si>
    <t>Howard</t>
  </si>
  <si>
    <t>Glenda</t>
  </si>
  <si>
    <t>O'Donnald</t>
  </si>
  <si>
    <t>Ron</t>
  </si>
  <si>
    <t>Hernandez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</si>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</sst>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16" fontId="0" fillId="2" borderId="0" xfId="0" applyNumberFormat="1" applyFill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 applyAlignment="1">
      <alignment horizontal="center"/>
    </xf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16" fontId="0" fillId="7" borderId="0" xfId="0" applyNumberFormat="1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topLeftCell="Y1" workbookViewId="0">
      <selection activeCell="AC3" sqref="AC3:AC20"/>
    </sheetView>
  </sheetViews>
  <sheetFormatPr defaultRowHeight="15"/>
  <cols>
    <col min="1" max="1" width="25.7109375" customWidth="1"/>
    <col min="2" max="2" width="25.28515625" customWidth="1"/>
    <col min="3" max="3" width="12.140625" bestFit="1" customWidth="1"/>
    <col min="4" max="4" width="13.42578125" bestFit="1" customWidth="1"/>
    <col min="5" max="8" width="13.42578125" customWidth="1"/>
    <col min="9" max="9" width="17.28515625" style="9" customWidth="1"/>
    <col min="10" max="13" width="13.42578125" style="9" customWidth="1"/>
    <col min="14" max="18" width="14.28515625" customWidth="1"/>
    <col min="19" max="23" width="18.28515625" customWidth="1"/>
    <col min="24" max="24" width="14.7109375" customWidth="1"/>
    <col min="25" max="25" width="20.140625" customWidth="1"/>
    <col min="26" max="26" width="14.5703125" customWidth="1"/>
    <col min="27" max="27" width="16.140625" customWidth="1"/>
    <col min="28" max="28" width="16.28515625" customWidth="1"/>
    <col min="29" max="29" width="11.5703125" bestFit="1" customWidth="1"/>
    <col min="30" max="30" width="12.7109375" bestFit="1" customWidth="1"/>
    <col min="31" max="31" width="11.5703125" bestFit="1" customWidth="1"/>
  </cols>
  <sheetData>
    <row r="1" spans="1:31">
      <c r="A1" s="1" t="s">
        <v>0</v>
      </c>
      <c r="D1" t="s">
        <v>1</v>
      </c>
      <c r="I1" s="10" t="s">
        <v>2</v>
      </c>
      <c r="N1" t="s">
        <v>3</v>
      </c>
      <c r="S1" t="s">
        <v>4</v>
      </c>
      <c r="X1" t="s">
        <v>5</v>
      </c>
    </row>
    <row r="2" spans="1:31">
      <c r="A2" t="s">
        <v>6</v>
      </c>
      <c r="B2" t="s">
        <v>7</v>
      </c>
      <c r="N2" s="5"/>
      <c r="O2" s="5"/>
      <c r="P2" s="5"/>
      <c r="Q2" s="5"/>
      <c r="R2" s="5"/>
    </row>
    <row r="3" spans="1:31">
      <c r="C3" t="s">
        <v>8</v>
      </c>
      <c r="D3" s="7">
        <v>46023</v>
      </c>
      <c r="E3" s="7">
        <f>D3+7</f>
        <v>46030</v>
      </c>
      <c r="F3" s="7">
        <f t="shared" ref="F3:H3" si="0">E3+7</f>
        <v>46037</v>
      </c>
      <c r="G3" s="7">
        <f t="shared" si="0"/>
        <v>46044</v>
      </c>
      <c r="H3" s="7">
        <f t="shared" si="0"/>
        <v>46051</v>
      </c>
      <c r="I3" s="11">
        <v>46023</v>
      </c>
      <c r="J3" s="11">
        <f>I3+7</f>
        <v>46030</v>
      </c>
      <c r="K3" s="11">
        <f t="shared" ref="K3:M3" si="1">J3+7</f>
        <v>46037</v>
      </c>
      <c r="L3" s="11">
        <f t="shared" si="1"/>
        <v>46044</v>
      </c>
      <c r="M3" s="11">
        <f t="shared" si="1"/>
        <v>46051</v>
      </c>
      <c r="N3" s="13">
        <v>46023</v>
      </c>
      <c r="O3" s="13">
        <f>N3+7</f>
        <v>46030</v>
      </c>
      <c r="P3" s="13">
        <f t="shared" ref="P3:R3" si="2">O3+7</f>
        <v>46037</v>
      </c>
      <c r="Q3" s="13">
        <f t="shared" si="2"/>
        <v>46044</v>
      </c>
      <c r="R3" s="13">
        <f t="shared" si="2"/>
        <v>46051</v>
      </c>
      <c r="S3" s="15">
        <v>46023</v>
      </c>
      <c r="T3" s="15">
        <f>S3+7</f>
        <v>46030</v>
      </c>
      <c r="U3" s="15">
        <f t="shared" ref="U3:W3" si="3">T3+7</f>
        <v>46037</v>
      </c>
      <c r="V3" s="15">
        <f t="shared" si="3"/>
        <v>46044</v>
      </c>
      <c r="W3" s="15">
        <f t="shared" si="3"/>
        <v>46051</v>
      </c>
      <c r="X3" s="17">
        <v>46023</v>
      </c>
      <c r="Y3" s="17">
        <f>X3+7</f>
        <v>46030</v>
      </c>
      <c r="Z3" s="17">
        <f t="shared" ref="Z3:AC3" si="4">Y3+7</f>
        <v>46037</v>
      </c>
      <c r="AA3" s="17">
        <f t="shared" si="4"/>
        <v>46044</v>
      </c>
      <c r="AB3" s="17">
        <f t="shared" si="4"/>
        <v>46051</v>
      </c>
      <c r="AC3" s="19" t="s">
        <v>9</v>
      </c>
      <c r="AD3" s="6"/>
      <c r="AE3" s="6"/>
    </row>
    <row r="4" spans="1:31">
      <c r="A4" t="s">
        <v>10</v>
      </c>
      <c r="B4" t="s">
        <v>11</v>
      </c>
      <c r="C4" s="2">
        <v>18</v>
      </c>
      <c r="D4" s="8">
        <v>41</v>
      </c>
      <c r="E4" s="8">
        <v>42</v>
      </c>
      <c r="F4" s="8">
        <v>39</v>
      </c>
      <c r="G4" s="8">
        <v>30</v>
      </c>
      <c r="H4" s="8">
        <v>46</v>
      </c>
      <c r="I4" s="12">
        <v>1</v>
      </c>
      <c r="J4" s="12">
        <v>2</v>
      </c>
      <c r="K4" s="12">
        <v>0</v>
      </c>
      <c r="L4" s="12">
        <v>0</v>
      </c>
      <c r="M4" s="12">
        <v>6</v>
      </c>
      <c r="N4" s="14">
        <f>$C4*D4</f>
        <v>738</v>
      </c>
      <c r="O4" s="14">
        <f t="shared" ref="O4:R19" si="5">$C4*E4</f>
        <v>756</v>
      </c>
      <c r="P4" s="14">
        <f t="shared" si="5"/>
        <v>702</v>
      </c>
      <c r="Q4" s="14">
        <f t="shared" si="5"/>
        <v>540</v>
      </c>
      <c r="R4" s="14">
        <f t="shared" si="5"/>
        <v>828</v>
      </c>
      <c r="S4" s="16">
        <f>0.5*$C4*I4</f>
        <v>9</v>
      </c>
      <c r="T4" s="16">
        <f t="shared" ref="T4:W19" si="6">0.5*$C4*J4</f>
        <v>18</v>
      </c>
      <c r="U4" s="16">
        <f t="shared" si="6"/>
        <v>0</v>
      </c>
      <c r="V4" s="16">
        <f t="shared" si="6"/>
        <v>0</v>
      </c>
      <c r="W4" s="16">
        <f t="shared" si="6"/>
        <v>54</v>
      </c>
      <c r="X4" s="18">
        <f>N4+S4</f>
        <v>747</v>
      </c>
      <c r="Y4" s="18">
        <f t="shared" ref="Y4:AB19" si="7">O4+T4</f>
        <v>774</v>
      </c>
      <c r="Z4" s="18">
        <f t="shared" si="7"/>
        <v>702</v>
      </c>
      <c r="AA4" s="18">
        <f t="shared" si="7"/>
        <v>540</v>
      </c>
      <c r="AB4" s="18">
        <f t="shared" si="7"/>
        <v>882</v>
      </c>
      <c r="AC4" s="20">
        <f>SUM(X4:AB4)</f>
        <v>3645</v>
      </c>
    </row>
    <row r="5" spans="1:31">
      <c r="A5" t="s">
        <v>12</v>
      </c>
      <c r="B5" t="s">
        <v>13</v>
      </c>
      <c r="C5" s="2">
        <v>20</v>
      </c>
      <c r="D5" s="8">
        <v>42</v>
      </c>
      <c r="E5" s="8">
        <v>41</v>
      </c>
      <c r="F5" s="8">
        <v>40</v>
      </c>
      <c r="G5" s="8">
        <v>38</v>
      </c>
      <c r="H5" s="8">
        <v>44</v>
      </c>
      <c r="I5" s="12">
        <v>2</v>
      </c>
      <c r="J5" s="12">
        <v>1</v>
      </c>
      <c r="K5" s="12">
        <v>0</v>
      </c>
      <c r="L5" s="12">
        <v>0</v>
      </c>
      <c r="M5" s="12">
        <v>4</v>
      </c>
      <c r="N5" s="14">
        <f t="shared" ref="N5:N20" si="8">$C5*D5</f>
        <v>840</v>
      </c>
      <c r="O5" s="14">
        <f t="shared" si="5"/>
        <v>820</v>
      </c>
      <c r="P5" s="14">
        <f t="shared" si="5"/>
        <v>800</v>
      </c>
      <c r="Q5" s="14">
        <f t="shared" si="5"/>
        <v>760</v>
      </c>
      <c r="R5" s="14">
        <f t="shared" si="5"/>
        <v>880</v>
      </c>
      <c r="S5" s="16">
        <f>0.5*$C5*I5</f>
        <v>20</v>
      </c>
      <c r="T5" s="16">
        <f t="shared" si="6"/>
        <v>10</v>
      </c>
      <c r="U5" s="16">
        <f t="shared" si="6"/>
        <v>0</v>
      </c>
      <c r="V5" s="16">
        <f t="shared" si="6"/>
        <v>0</v>
      </c>
      <c r="W5" s="16">
        <f t="shared" si="6"/>
        <v>40</v>
      </c>
      <c r="X5" s="18">
        <f>N5+S5</f>
        <v>860</v>
      </c>
      <c r="Y5" s="18">
        <f t="shared" si="7"/>
        <v>830</v>
      </c>
      <c r="Z5" s="18">
        <f t="shared" si="7"/>
        <v>800</v>
      </c>
      <c r="AA5" s="18">
        <f t="shared" si="7"/>
        <v>760</v>
      </c>
      <c r="AB5" s="18">
        <f t="shared" si="7"/>
        <v>920</v>
      </c>
      <c r="AC5" s="20">
        <f t="shared" ref="AC5:AC20" si="9">SUM(X5:AB5)</f>
        <v>4170</v>
      </c>
    </row>
    <row r="6" spans="1:31">
      <c r="A6" t="s">
        <v>14</v>
      </c>
      <c r="B6" t="s">
        <v>15</v>
      </c>
      <c r="C6" s="2">
        <v>17.5</v>
      </c>
      <c r="D6" s="8">
        <v>49</v>
      </c>
      <c r="E6" s="8">
        <v>40</v>
      </c>
      <c r="F6" s="8">
        <v>33</v>
      </c>
      <c r="G6" s="8">
        <v>20</v>
      </c>
      <c r="H6" s="8">
        <v>18</v>
      </c>
      <c r="I6" s="12">
        <v>9</v>
      </c>
      <c r="J6" s="12">
        <v>0</v>
      </c>
      <c r="K6" s="12">
        <v>0</v>
      </c>
      <c r="L6" s="12">
        <v>0</v>
      </c>
      <c r="M6" s="12">
        <v>0</v>
      </c>
      <c r="N6" s="14">
        <f t="shared" si="8"/>
        <v>857.5</v>
      </c>
      <c r="O6" s="14">
        <f t="shared" si="5"/>
        <v>700</v>
      </c>
      <c r="P6" s="14">
        <f t="shared" si="5"/>
        <v>577.5</v>
      </c>
      <c r="Q6" s="14">
        <f t="shared" si="5"/>
        <v>350</v>
      </c>
      <c r="R6" s="14">
        <f t="shared" si="5"/>
        <v>315</v>
      </c>
      <c r="S6" s="16">
        <f t="shared" ref="S6:S20" si="10">0.5*$C6*I6</f>
        <v>78.75</v>
      </c>
      <c r="T6" s="16">
        <f t="shared" si="6"/>
        <v>0</v>
      </c>
      <c r="U6" s="16">
        <f t="shared" si="6"/>
        <v>0</v>
      </c>
      <c r="V6" s="16">
        <f t="shared" si="6"/>
        <v>0</v>
      </c>
      <c r="W6" s="16">
        <f t="shared" si="6"/>
        <v>0</v>
      </c>
      <c r="X6" s="18">
        <f>N6+S6</f>
        <v>936.25</v>
      </c>
      <c r="Y6" s="18">
        <f t="shared" si="7"/>
        <v>700</v>
      </c>
      <c r="Z6" s="18">
        <f t="shared" si="7"/>
        <v>577.5</v>
      </c>
      <c r="AA6" s="18">
        <f t="shared" si="7"/>
        <v>350</v>
      </c>
      <c r="AB6" s="18">
        <f t="shared" si="7"/>
        <v>315</v>
      </c>
      <c r="AC6" s="20">
        <f t="shared" si="9"/>
        <v>2878.75</v>
      </c>
    </row>
    <row r="7" spans="1:31">
      <c r="A7" t="s">
        <v>16</v>
      </c>
      <c r="B7" t="s">
        <v>17</v>
      </c>
      <c r="C7" s="2">
        <v>19</v>
      </c>
      <c r="D7" s="8">
        <v>41</v>
      </c>
      <c r="E7" s="8">
        <v>50</v>
      </c>
      <c r="F7" s="8">
        <v>47</v>
      </c>
      <c r="G7" s="8">
        <v>30</v>
      </c>
      <c r="H7" s="8">
        <v>39</v>
      </c>
      <c r="I7" s="12">
        <v>1</v>
      </c>
      <c r="J7" s="12">
        <v>10</v>
      </c>
      <c r="K7" s="12">
        <v>7</v>
      </c>
      <c r="L7" s="12">
        <v>0</v>
      </c>
      <c r="M7" s="12">
        <v>0</v>
      </c>
      <c r="N7" s="14">
        <f t="shared" si="8"/>
        <v>779</v>
      </c>
      <c r="O7" s="14">
        <f t="shared" si="5"/>
        <v>950</v>
      </c>
      <c r="P7" s="14">
        <f t="shared" si="5"/>
        <v>893</v>
      </c>
      <c r="Q7" s="14">
        <f t="shared" si="5"/>
        <v>570</v>
      </c>
      <c r="R7" s="14">
        <f t="shared" si="5"/>
        <v>741</v>
      </c>
      <c r="S7" s="16">
        <f t="shared" si="10"/>
        <v>9.5</v>
      </c>
      <c r="T7" s="16">
        <f t="shared" si="6"/>
        <v>95</v>
      </c>
      <c r="U7" s="16">
        <f t="shared" si="6"/>
        <v>66.5</v>
      </c>
      <c r="V7" s="16">
        <f t="shared" si="6"/>
        <v>0</v>
      </c>
      <c r="W7" s="16">
        <f t="shared" si="6"/>
        <v>0</v>
      </c>
      <c r="X7" s="18">
        <f>N7+S7</f>
        <v>788.5</v>
      </c>
      <c r="Y7" s="18">
        <f t="shared" si="7"/>
        <v>1045</v>
      </c>
      <c r="Z7" s="18">
        <f t="shared" si="7"/>
        <v>959.5</v>
      </c>
      <c r="AA7" s="18">
        <f t="shared" si="7"/>
        <v>570</v>
      </c>
      <c r="AB7" s="18">
        <f t="shared" si="7"/>
        <v>741</v>
      </c>
      <c r="AC7" s="20">
        <f t="shared" si="9"/>
        <v>4104</v>
      </c>
    </row>
    <row r="8" spans="1:31">
      <c r="A8" t="s">
        <v>18</v>
      </c>
      <c r="B8" t="s">
        <v>19</v>
      </c>
      <c r="C8" s="2">
        <v>22</v>
      </c>
      <c r="D8" s="8">
        <v>39</v>
      </c>
      <c r="E8" s="8">
        <v>52</v>
      </c>
      <c r="F8" s="8">
        <v>42</v>
      </c>
      <c r="G8" s="8">
        <v>40</v>
      </c>
      <c r="H8" s="8">
        <v>40</v>
      </c>
      <c r="I8" s="12">
        <v>0</v>
      </c>
      <c r="J8" s="12">
        <v>12</v>
      </c>
      <c r="K8" s="12">
        <v>2</v>
      </c>
      <c r="L8" s="12">
        <v>0</v>
      </c>
      <c r="M8" s="12">
        <v>0</v>
      </c>
      <c r="N8" s="14">
        <f t="shared" si="8"/>
        <v>858</v>
      </c>
      <c r="O8" s="14">
        <f t="shared" si="5"/>
        <v>1144</v>
      </c>
      <c r="P8" s="14">
        <f t="shared" si="5"/>
        <v>924</v>
      </c>
      <c r="Q8" s="14">
        <f t="shared" si="5"/>
        <v>880</v>
      </c>
      <c r="R8" s="14">
        <f t="shared" si="5"/>
        <v>880</v>
      </c>
      <c r="S8" s="16">
        <f t="shared" si="10"/>
        <v>0</v>
      </c>
      <c r="T8" s="16">
        <f t="shared" si="6"/>
        <v>132</v>
      </c>
      <c r="U8" s="16">
        <f t="shared" si="6"/>
        <v>22</v>
      </c>
      <c r="V8" s="16">
        <f t="shared" si="6"/>
        <v>0</v>
      </c>
      <c r="W8" s="16">
        <f t="shared" si="6"/>
        <v>0</v>
      </c>
      <c r="X8" s="18">
        <f>N8+S8</f>
        <v>858</v>
      </c>
      <c r="Y8" s="18">
        <f t="shared" si="7"/>
        <v>1276</v>
      </c>
      <c r="Z8" s="18">
        <f t="shared" si="7"/>
        <v>946</v>
      </c>
      <c r="AA8" s="18">
        <f t="shared" si="7"/>
        <v>880</v>
      </c>
      <c r="AB8" s="18">
        <f t="shared" si="7"/>
        <v>880</v>
      </c>
      <c r="AC8" s="20">
        <f t="shared" si="9"/>
        <v>4840</v>
      </c>
    </row>
    <row r="9" spans="1:31">
      <c r="A9" t="s">
        <v>20</v>
      </c>
      <c r="B9" t="s">
        <v>21</v>
      </c>
      <c r="C9" s="2">
        <v>18.5</v>
      </c>
      <c r="D9" s="8">
        <v>44</v>
      </c>
      <c r="E9" s="8">
        <v>51</v>
      </c>
      <c r="F9" s="8">
        <v>42</v>
      </c>
      <c r="G9" s="8">
        <v>40</v>
      </c>
      <c r="H9" s="8">
        <v>20</v>
      </c>
      <c r="I9" s="12">
        <v>4</v>
      </c>
      <c r="J9" s="12">
        <v>11</v>
      </c>
      <c r="K9" s="12">
        <v>2</v>
      </c>
      <c r="L9" s="12">
        <v>0</v>
      </c>
      <c r="M9" s="12">
        <v>0</v>
      </c>
      <c r="N9" s="14">
        <f t="shared" si="8"/>
        <v>814</v>
      </c>
      <c r="O9" s="14">
        <f t="shared" si="5"/>
        <v>943.5</v>
      </c>
      <c r="P9" s="14">
        <f t="shared" si="5"/>
        <v>777</v>
      </c>
      <c r="Q9" s="14">
        <f t="shared" si="5"/>
        <v>740</v>
      </c>
      <c r="R9" s="14">
        <f t="shared" si="5"/>
        <v>370</v>
      </c>
      <c r="S9" s="16">
        <f t="shared" si="10"/>
        <v>37</v>
      </c>
      <c r="T9" s="16">
        <f t="shared" si="6"/>
        <v>101.75</v>
      </c>
      <c r="U9" s="16">
        <f t="shared" si="6"/>
        <v>18.5</v>
      </c>
      <c r="V9" s="16">
        <f t="shared" si="6"/>
        <v>0</v>
      </c>
      <c r="W9" s="16">
        <f t="shared" si="6"/>
        <v>0</v>
      </c>
      <c r="X9" s="18">
        <f>N9+S9</f>
        <v>851</v>
      </c>
      <c r="Y9" s="18">
        <f t="shared" si="7"/>
        <v>1045.25</v>
      </c>
      <c r="Z9" s="18">
        <f t="shared" si="7"/>
        <v>795.5</v>
      </c>
      <c r="AA9" s="18">
        <f t="shared" si="7"/>
        <v>740</v>
      </c>
      <c r="AB9" s="18">
        <f t="shared" si="7"/>
        <v>370</v>
      </c>
      <c r="AC9" s="20">
        <f t="shared" si="9"/>
        <v>3801.75</v>
      </c>
    </row>
    <row r="10" spans="1:31">
      <c r="A10" t="s">
        <v>22</v>
      </c>
      <c r="B10" t="s">
        <v>23</v>
      </c>
      <c r="C10" s="2">
        <v>21</v>
      </c>
      <c r="D10" s="8">
        <v>55</v>
      </c>
      <c r="E10" s="8">
        <v>60</v>
      </c>
      <c r="F10" s="8">
        <v>45</v>
      </c>
      <c r="G10" s="8">
        <v>40</v>
      </c>
      <c r="H10" s="8">
        <v>49</v>
      </c>
      <c r="I10" s="12">
        <v>15</v>
      </c>
      <c r="J10" s="12">
        <v>20</v>
      </c>
      <c r="K10" s="12">
        <v>5</v>
      </c>
      <c r="L10" s="12">
        <v>0</v>
      </c>
      <c r="M10" s="12">
        <v>9</v>
      </c>
      <c r="N10" s="14">
        <f t="shared" si="8"/>
        <v>1155</v>
      </c>
      <c r="O10" s="14">
        <f t="shared" si="5"/>
        <v>1260</v>
      </c>
      <c r="P10" s="14">
        <f t="shared" si="5"/>
        <v>945</v>
      </c>
      <c r="Q10" s="14">
        <f t="shared" si="5"/>
        <v>840</v>
      </c>
      <c r="R10" s="14">
        <f t="shared" si="5"/>
        <v>1029</v>
      </c>
      <c r="S10" s="16">
        <f t="shared" si="10"/>
        <v>157.5</v>
      </c>
      <c r="T10" s="16">
        <f t="shared" si="6"/>
        <v>210</v>
      </c>
      <c r="U10" s="16">
        <f t="shared" si="6"/>
        <v>52.5</v>
      </c>
      <c r="V10" s="16">
        <f t="shared" si="6"/>
        <v>0</v>
      </c>
      <c r="W10" s="16">
        <f t="shared" si="6"/>
        <v>94.5</v>
      </c>
      <c r="X10" s="18">
        <f>N10+S10</f>
        <v>1312.5</v>
      </c>
      <c r="Y10" s="18">
        <f t="shared" si="7"/>
        <v>1470</v>
      </c>
      <c r="Z10" s="18">
        <f t="shared" si="7"/>
        <v>997.5</v>
      </c>
      <c r="AA10" s="18">
        <f t="shared" si="7"/>
        <v>840</v>
      </c>
      <c r="AB10" s="18">
        <f t="shared" si="7"/>
        <v>1123.5</v>
      </c>
      <c r="AC10" s="20">
        <f t="shared" si="9"/>
        <v>5743.5</v>
      </c>
    </row>
    <row r="11" spans="1:31">
      <c r="A11" t="s">
        <v>24</v>
      </c>
      <c r="B11" t="s">
        <v>25</v>
      </c>
      <c r="C11" s="2">
        <v>23</v>
      </c>
      <c r="D11" s="8">
        <v>33</v>
      </c>
      <c r="E11" s="8">
        <v>22</v>
      </c>
      <c r="F11" s="8">
        <v>54</v>
      </c>
      <c r="G11" s="8">
        <v>40</v>
      </c>
      <c r="H11" s="8">
        <v>20</v>
      </c>
      <c r="I11" s="12">
        <v>0</v>
      </c>
      <c r="J11" s="12">
        <v>0</v>
      </c>
      <c r="K11" s="12">
        <v>14</v>
      </c>
      <c r="L11" s="12">
        <v>0</v>
      </c>
      <c r="M11" s="12">
        <v>0</v>
      </c>
      <c r="N11" s="14">
        <f t="shared" si="8"/>
        <v>759</v>
      </c>
      <c r="O11" s="14">
        <f t="shared" si="5"/>
        <v>506</v>
      </c>
      <c r="P11" s="14">
        <f t="shared" si="5"/>
        <v>1242</v>
      </c>
      <c r="Q11" s="14">
        <f t="shared" si="5"/>
        <v>920</v>
      </c>
      <c r="R11" s="14">
        <f t="shared" si="5"/>
        <v>460</v>
      </c>
      <c r="S11" s="16">
        <f t="shared" si="10"/>
        <v>0</v>
      </c>
      <c r="T11" s="16">
        <f t="shared" si="6"/>
        <v>0</v>
      </c>
      <c r="U11" s="16">
        <f t="shared" si="6"/>
        <v>161</v>
      </c>
      <c r="V11" s="16">
        <f t="shared" si="6"/>
        <v>0</v>
      </c>
      <c r="W11" s="16">
        <f t="shared" si="6"/>
        <v>0</v>
      </c>
      <c r="X11" s="18">
        <f>N11+S11</f>
        <v>759</v>
      </c>
      <c r="Y11" s="18">
        <f t="shared" si="7"/>
        <v>506</v>
      </c>
      <c r="Z11" s="18">
        <f t="shared" si="7"/>
        <v>1403</v>
      </c>
      <c r="AA11" s="18">
        <f t="shared" si="7"/>
        <v>920</v>
      </c>
      <c r="AB11" s="18">
        <f t="shared" si="7"/>
        <v>460</v>
      </c>
      <c r="AC11" s="20">
        <f t="shared" si="9"/>
        <v>4048</v>
      </c>
    </row>
    <row r="12" spans="1:31">
      <c r="A12" t="s">
        <v>26</v>
      </c>
      <c r="B12" t="s">
        <v>27</v>
      </c>
      <c r="C12" s="2">
        <v>24</v>
      </c>
      <c r="D12" s="8">
        <v>29</v>
      </c>
      <c r="E12" s="8">
        <v>40</v>
      </c>
      <c r="F12" s="8">
        <v>42</v>
      </c>
      <c r="G12" s="8">
        <v>40</v>
      </c>
      <c r="H12" s="8">
        <v>40</v>
      </c>
      <c r="I12" s="12">
        <v>0</v>
      </c>
      <c r="J12" s="12">
        <v>0</v>
      </c>
      <c r="K12" s="12">
        <v>2</v>
      </c>
      <c r="L12" s="12">
        <v>0</v>
      </c>
      <c r="M12" s="12">
        <v>0</v>
      </c>
      <c r="N12" s="14">
        <f t="shared" si="8"/>
        <v>696</v>
      </c>
      <c r="O12" s="14">
        <f t="shared" si="5"/>
        <v>960</v>
      </c>
      <c r="P12" s="14">
        <f t="shared" si="5"/>
        <v>1008</v>
      </c>
      <c r="Q12" s="14">
        <f t="shared" si="5"/>
        <v>960</v>
      </c>
      <c r="R12" s="14">
        <f t="shared" si="5"/>
        <v>960</v>
      </c>
      <c r="S12" s="16">
        <f t="shared" si="10"/>
        <v>0</v>
      </c>
      <c r="T12" s="16">
        <f t="shared" si="6"/>
        <v>0</v>
      </c>
      <c r="U12" s="16">
        <f t="shared" si="6"/>
        <v>24</v>
      </c>
      <c r="V12" s="16">
        <f t="shared" si="6"/>
        <v>0</v>
      </c>
      <c r="W12" s="16">
        <f t="shared" si="6"/>
        <v>0</v>
      </c>
      <c r="X12" s="18">
        <f>N12+S12</f>
        <v>696</v>
      </c>
      <c r="Y12" s="18">
        <f t="shared" si="7"/>
        <v>960</v>
      </c>
      <c r="Z12" s="18">
        <f t="shared" si="7"/>
        <v>1032</v>
      </c>
      <c r="AA12" s="18">
        <f t="shared" si="7"/>
        <v>960</v>
      </c>
      <c r="AB12" s="18">
        <f t="shared" si="7"/>
        <v>960</v>
      </c>
      <c r="AC12" s="20">
        <f t="shared" si="9"/>
        <v>4608</v>
      </c>
    </row>
    <row r="13" spans="1:31">
      <c r="A13" t="s">
        <v>28</v>
      </c>
      <c r="B13" t="s">
        <v>29</v>
      </c>
      <c r="C13" s="2">
        <v>19.5</v>
      </c>
      <c r="D13" s="8">
        <v>40</v>
      </c>
      <c r="E13" s="8">
        <v>40</v>
      </c>
      <c r="F13" s="8">
        <v>42</v>
      </c>
      <c r="G13" s="8">
        <v>40</v>
      </c>
      <c r="H13" s="8">
        <v>40</v>
      </c>
      <c r="I13" s="12">
        <v>0</v>
      </c>
      <c r="J13" s="12">
        <v>0</v>
      </c>
      <c r="K13" s="12">
        <v>2</v>
      </c>
      <c r="L13" s="12">
        <v>0</v>
      </c>
      <c r="M13" s="12">
        <v>0</v>
      </c>
      <c r="N13" s="14">
        <f t="shared" si="8"/>
        <v>780</v>
      </c>
      <c r="O13" s="14">
        <f t="shared" si="5"/>
        <v>780</v>
      </c>
      <c r="P13" s="14">
        <f t="shared" si="5"/>
        <v>819</v>
      </c>
      <c r="Q13" s="14">
        <f t="shared" si="5"/>
        <v>780</v>
      </c>
      <c r="R13" s="14">
        <f t="shared" si="5"/>
        <v>780</v>
      </c>
      <c r="S13" s="16">
        <f t="shared" si="10"/>
        <v>0</v>
      </c>
      <c r="T13" s="16">
        <f t="shared" si="6"/>
        <v>0</v>
      </c>
      <c r="U13" s="16">
        <f t="shared" si="6"/>
        <v>19.5</v>
      </c>
      <c r="V13" s="16">
        <f t="shared" si="6"/>
        <v>0</v>
      </c>
      <c r="W13" s="16">
        <f t="shared" si="6"/>
        <v>0</v>
      </c>
      <c r="X13" s="18">
        <f>N13+S13</f>
        <v>780</v>
      </c>
      <c r="Y13" s="18">
        <f t="shared" si="7"/>
        <v>780</v>
      </c>
      <c r="Z13" s="18">
        <f t="shared" si="7"/>
        <v>838.5</v>
      </c>
      <c r="AA13" s="18">
        <f t="shared" si="7"/>
        <v>780</v>
      </c>
      <c r="AB13" s="18">
        <f t="shared" si="7"/>
        <v>780</v>
      </c>
      <c r="AC13" s="20">
        <f t="shared" si="9"/>
        <v>3958.5</v>
      </c>
    </row>
    <row r="14" spans="1:31">
      <c r="A14" t="s">
        <v>30</v>
      </c>
      <c r="B14" t="s">
        <v>31</v>
      </c>
      <c r="C14" s="2">
        <v>20</v>
      </c>
      <c r="D14" s="8">
        <v>40</v>
      </c>
      <c r="E14" s="8">
        <v>40</v>
      </c>
      <c r="F14" s="8">
        <v>42</v>
      </c>
      <c r="G14" s="8">
        <v>39</v>
      </c>
      <c r="H14" s="8">
        <v>40</v>
      </c>
      <c r="I14" s="12">
        <v>0</v>
      </c>
      <c r="J14" s="12">
        <v>0</v>
      </c>
      <c r="K14" s="12">
        <v>2</v>
      </c>
      <c r="L14" s="12">
        <v>0</v>
      </c>
      <c r="M14" s="12">
        <v>0</v>
      </c>
      <c r="N14" s="14">
        <f t="shared" si="8"/>
        <v>800</v>
      </c>
      <c r="O14" s="14">
        <f t="shared" si="5"/>
        <v>800</v>
      </c>
      <c r="P14" s="14">
        <f t="shared" si="5"/>
        <v>840</v>
      </c>
      <c r="Q14" s="14">
        <f t="shared" si="5"/>
        <v>780</v>
      </c>
      <c r="R14" s="14">
        <f t="shared" si="5"/>
        <v>800</v>
      </c>
      <c r="S14" s="16">
        <f t="shared" si="10"/>
        <v>0</v>
      </c>
      <c r="T14" s="16">
        <f t="shared" si="6"/>
        <v>0</v>
      </c>
      <c r="U14" s="16">
        <f t="shared" si="6"/>
        <v>20</v>
      </c>
      <c r="V14" s="16">
        <f t="shared" si="6"/>
        <v>0</v>
      </c>
      <c r="W14" s="16">
        <f t="shared" si="6"/>
        <v>0</v>
      </c>
      <c r="X14" s="18">
        <f>N14+S14</f>
        <v>800</v>
      </c>
      <c r="Y14" s="18">
        <f t="shared" si="7"/>
        <v>800</v>
      </c>
      <c r="Z14" s="18">
        <f t="shared" si="7"/>
        <v>860</v>
      </c>
      <c r="AA14" s="18">
        <f t="shared" si="7"/>
        <v>780</v>
      </c>
      <c r="AB14" s="18">
        <f t="shared" si="7"/>
        <v>800</v>
      </c>
      <c r="AC14" s="20">
        <f t="shared" si="9"/>
        <v>4040</v>
      </c>
    </row>
    <row r="15" spans="1:31">
      <c r="A15" t="s">
        <v>32</v>
      </c>
      <c r="B15" t="s">
        <v>33</v>
      </c>
      <c r="C15" s="2">
        <v>21.5</v>
      </c>
      <c r="D15" s="8">
        <v>40</v>
      </c>
      <c r="E15" s="8">
        <v>40</v>
      </c>
      <c r="F15" s="8">
        <v>41</v>
      </c>
      <c r="G15" s="8">
        <v>42</v>
      </c>
      <c r="H15" s="8">
        <v>40</v>
      </c>
      <c r="I15" s="12">
        <v>0</v>
      </c>
      <c r="J15" s="12">
        <v>0</v>
      </c>
      <c r="K15" s="12">
        <v>1</v>
      </c>
      <c r="L15" s="12">
        <v>2</v>
      </c>
      <c r="M15" s="12">
        <v>0</v>
      </c>
      <c r="N15" s="14">
        <f t="shared" si="8"/>
        <v>860</v>
      </c>
      <c r="O15" s="14">
        <f t="shared" si="5"/>
        <v>860</v>
      </c>
      <c r="P15" s="14">
        <f t="shared" si="5"/>
        <v>881.5</v>
      </c>
      <c r="Q15" s="14">
        <f t="shared" si="5"/>
        <v>903</v>
      </c>
      <c r="R15" s="14">
        <f t="shared" si="5"/>
        <v>860</v>
      </c>
      <c r="S15" s="16">
        <f t="shared" si="10"/>
        <v>0</v>
      </c>
      <c r="T15" s="16">
        <f t="shared" si="6"/>
        <v>0</v>
      </c>
      <c r="U15" s="16">
        <f t="shared" si="6"/>
        <v>10.75</v>
      </c>
      <c r="V15" s="16">
        <f t="shared" si="6"/>
        <v>21.5</v>
      </c>
      <c r="W15" s="16">
        <f t="shared" si="6"/>
        <v>0</v>
      </c>
      <c r="X15" s="18">
        <f>N15+S15</f>
        <v>860</v>
      </c>
      <c r="Y15" s="18">
        <f t="shared" si="7"/>
        <v>860</v>
      </c>
      <c r="Z15" s="18">
        <f t="shared" si="7"/>
        <v>892.25</v>
      </c>
      <c r="AA15" s="18">
        <f t="shared" si="7"/>
        <v>924.5</v>
      </c>
      <c r="AB15" s="18">
        <f t="shared" si="7"/>
        <v>860</v>
      </c>
      <c r="AC15" s="20">
        <f t="shared" si="9"/>
        <v>4396.75</v>
      </c>
    </row>
    <row r="16" spans="1:31">
      <c r="A16" t="s">
        <v>34</v>
      </c>
      <c r="B16" t="s">
        <v>35</v>
      </c>
      <c r="C16" s="2">
        <v>18</v>
      </c>
      <c r="D16" s="8">
        <v>42</v>
      </c>
      <c r="E16" s="8">
        <v>42</v>
      </c>
      <c r="F16" s="8">
        <v>39</v>
      </c>
      <c r="G16" s="8">
        <v>42</v>
      </c>
      <c r="H16" s="8">
        <v>40</v>
      </c>
      <c r="I16" s="12">
        <v>2</v>
      </c>
      <c r="J16" s="12">
        <v>2</v>
      </c>
      <c r="K16" s="12">
        <v>0</v>
      </c>
      <c r="L16" s="12">
        <v>2</v>
      </c>
      <c r="M16" s="12">
        <v>0</v>
      </c>
      <c r="N16" s="14">
        <f t="shared" si="8"/>
        <v>756</v>
      </c>
      <c r="O16" s="14">
        <f t="shared" si="5"/>
        <v>756</v>
      </c>
      <c r="P16" s="14">
        <f t="shared" si="5"/>
        <v>702</v>
      </c>
      <c r="Q16" s="14">
        <f t="shared" si="5"/>
        <v>756</v>
      </c>
      <c r="R16" s="14">
        <f t="shared" si="5"/>
        <v>720</v>
      </c>
      <c r="S16" s="16">
        <f t="shared" si="10"/>
        <v>18</v>
      </c>
      <c r="T16" s="16">
        <f t="shared" si="6"/>
        <v>18</v>
      </c>
      <c r="U16" s="16">
        <f t="shared" si="6"/>
        <v>0</v>
      </c>
      <c r="V16" s="16">
        <f t="shared" si="6"/>
        <v>18</v>
      </c>
      <c r="W16" s="16">
        <f t="shared" si="6"/>
        <v>0</v>
      </c>
      <c r="X16" s="18">
        <f>N16+S16</f>
        <v>774</v>
      </c>
      <c r="Y16" s="18">
        <f t="shared" si="7"/>
        <v>774</v>
      </c>
      <c r="Z16" s="18">
        <f t="shared" si="7"/>
        <v>702</v>
      </c>
      <c r="AA16" s="18">
        <f t="shared" si="7"/>
        <v>774</v>
      </c>
      <c r="AB16" s="18">
        <f t="shared" si="7"/>
        <v>720</v>
      </c>
      <c r="AC16" s="20">
        <f t="shared" si="9"/>
        <v>3744</v>
      </c>
    </row>
    <row r="17" spans="1:29">
      <c r="A17" t="s">
        <v>36</v>
      </c>
      <c r="B17" t="s">
        <v>37</v>
      </c>
      <c r="C17" s="2">
        <v>22.5</v>
      </c>
      <c r="D17" s="8">
        <v>40</v>
      </c>
      <c r="E17" s="8">
        <v>43</v>
      </c>
      <c r="F17" s="8">
        <v>39</v>
      </c>
      <c r="G17" s="8">
        <v>41</v>
      </c>
      <c r="H17" s="8">
        <v>40</v>
      </c>
      <c r="I17" s="12">
        <v>0</v>
      </c>
      <c r="J17" s="12">
        <v>3</v>
      </c>
      <c r="K17" s="12">
        <v>0</v>
      </c>
      <c r="L17" s="12">
        <v>1</v>
      </c>
      <c r="M17" s="12">
        <v>0</v>
      </c>
      <c r="N17" s="14">
        <f t="shared" si="8"/>
        <v>900</v>
      </c>
      <c r="O17" s="14">
        <f t="shared" si="5"/>
        <v>967.5</v>
      </c>
      <c r="P17" s="14">
        <f t="shared" si="5"/>
        <v>877.5</v>
      </c>
      <c r="Q17" s="14">
        <f t="shared" si="5"/>
        <v>922.5</v>
      </c>
      <c r="R17" s="14">
        <f t="shared" si="5"/>
        <v>900</v>
      </c>
      <c r="S17" s="16">
        <f t="shared" si="10"/>
        <v>0</v>
      </c>
      <c r="T17" s="16">
        <f t="shared" si="6"/>
        <v>33.75</v>
      </c>
      <c r="U17" s="16">
        <f t="shared" si="6"/>
        <v>0</v>
      </c>
      <c r="V17" s="16">
        <f t="shared" si="6"/>
        <v>11.25</v>
      </c>
      <c r="W17" s="16">
        <f t="shared" si="6"/>
        <v>0</v>
      </c>
      <c r="X17" s="18">
        <f>N17+S17</f>
        <v>900</v>
      </c>
      <c r="Y17" s="18">
        <f t="shared" si="7"/>
        <v>1001.25</v>
      </c>
      <c r="Z17" s="18">
        <f t="shared" si="7"/>
        <v>877.5</v>
      </c>
      <c r="AA17" s="18">
        <f t="shared" si="7"/>
        <v>933.75</v>
      </c>
      <c r="AB17" s="18">
        <f t="shared" si="7"/>
        <v>900</v>
      </c>
      <c r="AC17" s="20">
        <f t="shared" si="9"/>
        <v>4612.5</v>
      </c>
    </row>
    <row r="18" spans="1:29">
      <c r="A18" t="s">
        <v>38</v>
      </c>
      <c r="B18" t="s">
        <v>39</v>
      </c>
      <c r="C18" s="2">
        <v>25</v>
      </c>
      <c r="D18" s="8">
        <v>40</v>
      </c>
      <c r="E18" s="8">
        <v>42</v>
      </c>
      <c r="F18" s="8">
        <v>39</v>
      </c>
      <c r="G18" s="8">
        <v>40</v>
      </c>
      <c r="H18" s="8">
        <v>40</v>
      </c>
      <c r="I18" s="12">
        <v>0</v>
      </c>
      <c r="J18" s="12">
        <v>2</v>
      </c>
      <c r="K18" s="12">
        <v>0</v>
      </c>
      <c r="L18" s="12">
        <v>0</v>
      </c>
      <c r="M18" s="12">
        <v>0</v>
      </c>
      <c r="N18" s="14">
        <f t="shared" si="8"/>
        <v>1000</v>
      </c>
      <c r="O18" s="14">
        <f t="shared" si="5"/>
        <v>1050</v>
      </c>
      <c r="P18" s="14">
        <f t="shared" si="5"/>
        <v>975</v>
      </c>
      <c r="Q18" s="14">
        <f t="shared" si="5"/>
        <v>1000</v>
      </c>
      <c r="R18" s="14">
        <f t="shared" si="5"/>
        <v>1000</v>
      </c>
      <c r="S18" s="16">
        <f t="shared" si="10"/>
        <v>0</v>
      </c>
      <c r="T18" s="16">
        <f t="shared" si="6"/>
        <v>25</v>
      </c>
      <c r="U18" s="16">
        <f t="shared" si="6"/>
        <v>0</v>
      </c>
      <c r="V18" s="16">
        <f t="shared" si="6"/>
        <v>0</v>
      </c>
      <c r="W18" s="16">
        <f t="shared" si="6"/>
        <v>0</v>
      </c>
      <c r="X18" s="18">
        <f>N18+S18</f>
        <v>1000</v>
      </c>
      <c r="Y18" s="18">
        <f t="shared" si="7"/>
        <v>1075</v>
      </c>
      <c r="Z18" s="18">
        <f t="shared" si="7"/>
        <v>975</v>
      </c>
      <c r="AA18" s="18">
        <f t="shared" si="7"/>
        <v>1000</v>
      </c>
      <c r="AB18" s="18">
        <f t="shared" si="7"/>
        <v>1000</v>
      </c>
      <c r="AC18" s="20">
        <f t="shared" si="9"/>
        <v>5050</v>
      </c>
    </row>
    <row r="19" spans="1:29">
      <c r="A19" t="s">
        <v>40</v>
      </c>
      <c r="B19" t="s">
        <v>41</v>
      </c>
      <c r="C19" s="2">
        <v>19</v>
      </c>
      <c r="D19" s="8">
        <v>41</v>
      </c>
      <c r="E19" s="8">
        <v>42</v>
      </c>
      <c r="F19" s="8">
        <v>40</v>
      </c>
      <c r="G19" s="8">
        <v>28</v>
      </c>
      <c r="H19" s="8">
        <v>40</v>
      </c>
      <c r="I19" s="12">
        <v>1</v>
      </c>
      <c r="J19" s="12">
        <v>2</v>
      </c>
      <c r="K19" s="12">
        <v>0</v>
      </c>
      <c r="L19" s="12">
        <v>0</v>
      </c>
      <c r="M19" s="12">
        <v>0</v>
      </c>
      <c r="N19" s="14">
        <f t="shared" si="8"/>
        <v>779</v>
      </c>
      <c r="O19" s="14">
        <f t="shared" si="5"/>
        <v>798</v>
      </c>
      <c r="P19" s="14">
        <f t="shared" si="5"/>
        <v>760</v>
      </c>
      <c r="Q19" s="14">
        <f t="shared" si="5"/>
        <v>532</v>
      </c>
      <c r="R19" s="14">
        <f t="shared" si="5"/>
        <v>760</v>
      </c>
      <c r="S19" s="16">
        <f t="shared" si="10"/>
        <v>9.5</v>
      </c>
      <c r="T19" s="16">
        <f t="shared" si="6"/>
        <v>19</v>
      </c>
      <c r="U19" s="16">
        <f t="shared" si="6"/>
        <v>0</v>
      </c>
      <c r="V19" s="16">
        <f t="shared" si="6"/>
        <v>0</v>
      </c>
      <c r="W19" s="16">
        <f t="shared" si="6"/>
        <v>0</v>
      </c>
      <c r="X19" s="18">
        <f>N19+S19</f>
        <v>788.5</v>
      </c>
      <c r="Y19" s="18">
        <f t="shared" si="7"/>
        <v>817</v>
      </c>
      <c r="Z19" s="18">
        <f t="shared" si="7"/>
        <v>760</v>
      </c>
      <c r="AA19" s="18">
        <f t="shared" si="7"/>
        <v>532</v>
      </c>
      <c r="AB19" s="18">
        <f t="shared" si="7"/>
        <v>760</v>
      </c>
      <c r="AC19" s="20">
        <f t="shared" si="9"/>
        <v>3657.5</v>
      </c>
    </row>
    <row r="20" spans="1:29">
      <c r="A20" t="s">
        <v>42</v>
      </c>
      <c r="B20" t="s">
        <v>43</v>
      </c>
      <c r="C20" s="2">
        <v>23</v>
      </c>
      <c r="D20" s="8">
        <v>39</v>
      </c>
      <c r="E20" s="8">
        <v>80</v>
      </c>
      <c r="F20" s="8">
        <v>40</v>
      </c>
      <c r="G20" s="8">
        <v>20</v>
      </c>
      <c r="H20" s="8">
        <v>40</v>
      </c>
      <c r="I20" s="12">
        <v>0</v>
      </c>
      <c r="J20" s="12">
        <v>40</v>
      </c>
      <c r="K20" s="12">
        <v>0</v>
      </c>
      <c r="L20" s="12">
        <v>0</v>
      </c>
      <c r="M20" s="12">
        <v>0</v>
      </c>
      <c r="N20" s="14">
        <f t="shared" si="8"/>
        <v>897</v>
      </c>
      <c r="O20" s="14">
        <f t="shared" ref="O20" si="11">$C20*E20</f>
        <v>1840</v>
      </c>
      <c r="P20" s="14">
        <f t="shared" ref="P20" si="12">$C20*F20</f>
        <v>920</v>
      </c>
      <c r="Q20" s="14">
        <f t="shared" ref="Q20" si="13">$C20*G20</f>
        <v>460</v>
      </c>
      <c r="R20" s="14">
        <f t="shared" ref="R20" si="14">$C20*H20</f>
        <v>920</v>
      </c>
      <c r="S20" s="16">
        <f t="shared" si="10"/>
        <v>0</v>
      </c>
      <c r="T20" s="16">
        <f t="shared" ref="T20" si="15">0.5*$C20*J20</f>
        <v>460</v>
      </c>
      <c r="U20" s="16">
        <f t="shared" ref="U20" si="16">0.5*$C20*K20</f>
        <v>0</v>
      </c>
      <c r="V20" s="16">
        <f t="shared" ref="V20" si="17">0.5*$C20*L20</f>
        <v>0</v>
      </c>
      <c r="W20" s="16">
        <f t="shared" ref="W20" si="18">0.5*$C20*M20</f>
        <v>0</v>
      </c>
      <c r="X20" s="18">
        <f>N20+S20</f>
        <v>897</v>
      </c>
      <c r="Y20" s="18">
        <f t="shared" ref="Y20:AB20" si="19">O20+T20</f>
        <v>2300</v>
      </c>
      <c r="Z20" s="18">
        <f t="shared" si="19"/>
        <v>920</v>
      </c>
      <c r="AA20" s="18">
        <f t="shared" si="19"/>
        <v>460</v>
      </c>
      <c r="AB20" s="18">
        <f t="shared" si="19"/>
        <v>920</v>
      </c>
      <c r="AC20" s="20">
        <f t="shared" si="9"/>
        <v>5497</v>
      </c>
    </row>
    <row r="23" spans="1:29">
      <c r="A23" t="s">
        <v>44</v>
      </c>
      <c r="C23" s="2">
        <f>MAX(C4:C20)</f>
        <v>25</v>
      </c>
      <c r="D23" s="4">
        <f>MAX(D4:D20)</f>
        <v>55</v>
      </c>
      <c r="E23" s="2">
        <f t="shared" ref="E23:AB23" si="20">MAX(E4:E20)</f>
        <v>80</v>
      </c>
      <c r="F23" s="4">
        <f t="shared" si="20"/>
        <v>54</v>
      </c>
      <c r="G23" s="2">
        <f t="shared" si="20"/>
        <v>42</v>
      </c>
      <c r="H23" s="4">
        <f t="shared" si="20"/>
        <v>49</v>
      </c>
      <c r="I23" s="2">
        <f t="shared" si="20"/>
        <v>15</v>
      </c>
      <c r="J23" s="4">
        <f t="shared" si="20"/>
        <v>40</v>
      </c>
      <c r="K23" s="2">
        <f t="shared" si="20"/>
        <v>14</v>
      </c>
      <c r="L23" s="4">
        <f t="shared" si="20"/>
        <v>2</v>
      </c>
      <c r="M23" s="2">
        <f t="shared" si="20"/>
        <v>9</v>
      </c>
      <c r="N23" s="4">
        <f t="shared" si="20"/>
        <v>1155</v>
      </c>
      <c r="O23" s="2">
        <f t="shared" si="20"/>
        <v>1840</v>
      </c>
      <c r="P23" s="4">
        <f t="shared" si="20"/>
        <v>1242</v>
      </c>
      <c r="Q23" s="2">
        <f t="shared" si="20"/>
        <v>1000</v>
      </c>
      <c r="R23" s="4">
        <f t="shared" si="20"/>
        <v>1029</v>
      </c>
      <c r="S23" s="2">
        <f t="shared" si="20"/>
        <v>157.5</v>
      </c>
      <c r="T23" s="4">
        <f t="shared" si="20"/>
        <v>460</v>
      </c>
      <c r="U23" s="2">
        <f t="shared" si="20"/>
        <v>161</v>
      </c>
      <c r="V23" s="4">
        <f t="shared" si="20"/>
        <v>21.5</v>
      </c>
      <c r="W23" s="2">
        <f t="shared" si="20"/>
        <v>94.5</v>
      </c>
      <c r="X23" s="4">
        <f t="shared" si="20"/>
        <v>1312.5</v>
      </c>
      <c r="Y23" s="2">
        <f t="shared" si="20"/>
        <v>2300</v>
      </c>
      <c r="Z23" s="4">
        <f t="shared" si="20"/>
        <v>1403</v>
      </c>
      <c r="AA23" s="2">
        <f t="shared" si="20"/>
        <v>1000</v>
      </c>
      <c r="AB23" s="4">
        <f t="shared" si="20"/>
        <v>1123.5</v>
      </c>
      <c r="AC23" s="4">
        <f t="shared" ref="AC23" si="21">MAX(AC4:AC20)</f>
        <v>5743.5</v>
      </c>
    </row>
    <row r="24" spans="1:29">
      <c r="A24" t="s">
        <v>45</v>
      </c>
      <c r="C24" s="2">
        <f>MIN(C4:C20)</f>
        <v>17.5</v>
      </c>
      <c r="D24" s="4">
        <f>MIN(D4:D20)</f>
        <v>29</v>
      </c>
      <c r="E24" s="2">
        <f t="shared" ref="E24:AB24" si="22">MIN(E4:E20)</f>
        <v>22</v>
      </c>
      <c r="F24" s="4">
        <f t="shared" si="22"/>
        <v>33</v>
      </c>
      <c r="G24" s="2">
        <f t="shared" si="22"/>
        <v>20</v>
      </c>
      <c r="H24" s="4">
        <f t="shared" si="22"/>
        <v>18</v>
      </c>
      <c r="I24" s="2">
        <f t="shared" si="22"/>
        <v>0</v>
      </c>
      <c r="J24" s="4">
        <f t="shared" si="22"/>
        <v>0</v>
      </c>
      <c r="K24" s="2">
        <f t="shared" si="22"/>
        <v>0</v>
      </c>
      <c r="L24" s="4">
        <f t="shared" si="22"/>
        <v>0</v>
      </c>
      <c r="M24" s="2">
        <f t="shared" si="22"/>
        <v>0</v>
      </c>
      <c r="N24" s="4">
        <f t="shared" si="22"/>
        <v>696</v>
      </c>
      <c r="O24" s="2">
        <f t="shared" si="22"/>
        <v>506</v>
      </c>
      <c r="P24" s="4">
        <f t="shared" si="22"/>
        <v>577.5</v>
      </c>
      <c r="Q24" s="2">
        <f t="shared" si="22"/>
        <v>350</v>
      </c>
      <c r="R24" s="4">
        <f t="shared" si="22"/>
        <v>315</v>
      </c>
      <c r="S24" s="2">
        <f t="shared" si="22"/>
        <v>0</v>
      </c>
      <c r="T24" s="4">
        <f t="shared" si="22"/>
        <v>0</v>
      </c>
      <c r="U24" s="2">
        <f t="shared" si="22"/>
        <v>0</v>
      </c>
      <c r="V24" s="4">
        <f t="shared" si="22"/>
        <v>0</v>
      </c>
      <c r="W24" s="2">
        <f t="shared" si="22"/>
        <v>0</v>
      </c>
      <c r="X24" s="4">
        <f t="shared" si="22"/>
        <v>696</v>
      </c>
      <c r="Y24" s="2">
        <f t="shared" si="22"/>
        <v>506</v>
      </c>
      <c r="Z24" s="4">
        <f t="shared" si="22"/>
        <v>577.5</v>
      </c>
      <c r="AA24" s="2">
        <f t="shared" si="22"/>
        <v>350</v>
      </c>
      <c r="AB24" s="4">
        <f t="shared" si="22"/>
        <v>315</v>
      </c>
      <c r="AC24" s="4">
        <f t="shared" ref="AC24" si="23">MIN(AC4:AC20)</f>
        <v>2878.75</v>
      </c>
    </row>
    <row r="25" spans="1:29">
      <c r="A25" t="s">
        <v>46</v>
      </c>
      <c r="C25" s="2">
        <f>AVERAGE(C4:C20)</f>
        <v>20.676470588235293</v>
      </c>
      <c r="D25" s="4">
        <f>AVERAGE(D4:D20)</f>
        <v>40.882352941176471</v>
      </c>
      <c r="E25" s="2">
        <f t="shared" ref="E25:AB25" si="24">AVERAGE(E4:E20)</f>
        <v>45.117647058823529</v>
      </c>
      <c r="F25" s="4">
        <f t="shared" si="24"/>
        <v>41.529411764705884</v>
      </c>
      <c r="G25" s="2">
        <f t="shared" si="24"/>
        <v>35.882352941176471</v>
      </c>
      <c r="H25" s="4">
        <f t="shared" si="24"/>
        <v>37.411764705882355</v>
      </c>
      <c r="I25" s="2">
        <f t="shared" si="24"/>
        <v>2.0588235294117645</v>
      </c>
      <c r="J25" s="4">
        <f t="shared" si="24"/>
        <v>6.1764705882352944</v>
      </c>
      <c r="K25" s="2">
        <f t="shared" si="24"/>
        <v>2.1764705882352939</v>
      </c>
      <c r="L25" s="4">
        <f t="shared" si="24"/>
        <v>0.29411764705882354</v>
      </c>
      <c r="M25" s="2">
        <f t="shared" si="24"/>
        <v>1.1176470588235294</v>
      </c>
      <c r="N25" s="4">
        <f t="shared" si="24"/>
        <v>839.32352941176475</v>
      </c>
      <c r="O25" s="2">
        <f t="shared" si="24"/>
        <v>934.76470588235293</v>
      </c>
      <c r="P25" s="4">
        <f t="shared" si="24"/>
        <v>861.38235294117646</v>
      </c>
      <c r="Q25" s="2">
        <f t="shared" si="24"/>
        <v>746.67647058823525</v>
      </c>
      <c r="R25" s="4">
        <f t="shared" si="24"/>
        <v>776.64705882352939</v>
      </c>
      <c r="S25" s="2">
        <f t="shared" si="24"/>
        <v>19.955882352941178</v>
      </c>
      <c r="T25" s="4">
        <f t="shared" si="24"/>
        <v>66.029411764705884</v>
      </c>
      <c r="U25" s="2">
        <f t="shared" si="24"/>
        <v>23.220588235294116</v>
      </c>
      <c r="V25" s="4">
        <f t="shared" si="24"/>
        <v>2.9852941176470589</v>
      </c>
      <c r="W25" s="2">
        <f t="shared" si="24"/>
        <v>11.088235294117647</v>
      </c>
      <c r="X25" s="4">
        <f t="shared" si="24"/>
        <v>859.27941176470586</v>
      </c>
      <c r="Y25" s="2">
        <f t="shared" si="24"/>
        <v>1000.7941176470588</v>
      </c>
      <c r="Z25" s="4">
        <f t="shared" si="24"/>
        <v>884.60294117647061</v>
      </c>
      <c r="AA25" s="2">
        <f t="shared" si="24"/>
        <v>749.66176470588232</v>
      </c>
      <c r="AB25" s="4">
        <f t="shared" si="24"/>
        <v>787.73529411764707</v>
      </c>
      <c r="AC25" s="4">
        <f t="shared" ref="AC25" si="25">AVERAGE(AC4:AC20)</f>
        <v>4282.0735294117649</v>
      </c>
    </row>
    <row r="26" spans="1:29">
      <c r="C26" s="2">
        <f>SUM(C4:C20)</f>
        <v>351.5</v>
      </c>
      <c r="D26" s="3">
        <f t="shared" ref="D26:N26" si="26">SUM(D4:D20)</f>
        <v>695</v>
      </c>
      <c r="E26" s="2">
        <f t="shared" si="26"/>
        <v>767</v>
      </c>
      <c r="F26" s="3">
        <f t="shared" ref="F26:AB26" si="27">SUM(F4:F20)</f>
        <v>706</v>
      </c>
      <c r="G26" s="2">
        <f t="shared" si="27"/>
        <v>610</v>
      </c>
      <c r="H26" s="3">
        <f t="shared" si="27"/>
        <v>636</v>
      </c>
      <c r="I26" s="2">
        <f t="shared" si="27"/>
        <v>35</v>
      </c>
      <c r="J26" s="3">
        <f t="shared" si="27"/>
        <v>105</v>
      </c>
      <c r="K26" s="2">
        <f t="shared" si="27"/>
        <v>37</v>
      </c>
      <c r="L26" s="3">
        <f t="shared" si="27"/>
        <v>5</v>
      </c>
      <c r="M26" s="2">
        <f t="shared" si="27"/>
        <v>19</v>
      </c>
      <c r="N26" s="3">
        <f t="shared" si="27"/>
        <v>14268.5</v>
      </c>
      <c r="O26" s="2">
        <f t="shared" si="27"/>
        <v>15891</v>
      </c>
      <c r="P26" s="3">
        <f t="shared" si="27"/>
        <v>14643.5</v>
      </c>
      <c r="Q26" s="2">
        <f t="shared" si="27"/>
        <v>12693.5</v>
      </c>
      <c r="R26" s="3">
        <f t="shared" si="27"/>
        <v>13203</v>
      </c>
      <c r="S26" s="2">
        <f t="shared" si="27"/>
        <v>339.25</v>
      </c>
      <c r="T26" s="3">
        <f t="shared" si="27"/>
        <v>1122.5</v>
      </c>
      <c r="U26" s="2">
        <f t="shared" si="27"/>
        <v>394.75</v>
      </c>
      <c r="V26" s="3">
        <f t="shared" si="27"/>
        <v>50.75</v>
      </c>
      <c r="W26" s="2">
        <f t="shared" si="27"/>
        <v>188.5</v>
      </c>
      <c r="X26" s="3">
        <f t="shared" si="27"/>
        <v>14607.75</v>
      </c>
      <c r="Y26" s="2">
        <f t="shared" si="27"/>
        <v>17013.5</v>
      </c>
      <c r="Z26" s="3">
        <f t="shared" si="27"/>
        <v>15038.25</v>
      </c>
      <c r="AA26" s="2">
        <f t="shared" si="27"/>
        <v>12744.25</v>
      </c>
      <c r="AB26" s="3">
        <f t="shared" si="27"/>
        <v>13391.5</v>
      </c>
      <c r="AC26" s="3">
        <f t="shared" ref="AC26" si="28">SUM(AC4:AC20)</f>
        <v>72795.25</v>
      </c>
    </row>
  </sheetData>
  <printOptions horizontalCentered="1"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A306-B810-447A-82A1-95F4A73B895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2026-05-04T22:16:04Z</dcterms:created>
  <dcterms:modified xsi:type="dcterms:W3CDTF">2026-05-07T15:39:09Z</dcterms:modified>
  <cp:category/>
  <cp:contentStatus/>
</cp:coreProperties>
</file>